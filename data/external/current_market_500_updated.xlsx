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8a62423d54c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_Market_Listings" sheetId="1" r:id="R3d7e94de61b64f82"/>
    <x:sheet xmlns:r="http://schemas.openxmlformats.org/officeDocument/2006/relationships" name="Assumptions" sheetId="2" r:id="R029f267f052a44cc"/>
    <x:sheet xmlns:r="http://schemas.openxmlformats.org/officeDocument/2006/relationships" name="Summary" sheetId="3" r:id="Rc718e871012745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"/>
    <x:numFmt numFmtId="202" formatCode="0.0"/>
    <x:numFmt numFmtId="203" formatCode="#,##0 &quot;₪&quot;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ae43f19e1b409f" /><Relationship Type="http://schemas.openxmlformats.org/officeDocument/2006/relationships/theme" Target="/xl/theme/theme1.xml" Id="R9c97bdb307ea4b8c" /><Relationship Type="http://schemas.microsoft.com/office/2022/11/relationships/FeaturePropertyBag" Target="/xl/featurePropertyBag/featurePropertyBag.xml" Id="Rdf4b03168b0f4eb9" /><Relationship Type="http://schemas.openxmlformats.org/officeDocument/2006/relationships/sharedStrings" Target="/xl/sharedStrings.xml" Id="R8a6798b7c0324683" /><Relationship Type="http://schemas.openxmlformats.org/officeDocument/2006/relationships/worksheet" Target="/xl/worksheets/sheet1.xml" Id="R3d7e94de61b64f82" /><Relationship Type="http://schemas.openxmlformats.org/officeDocument/2006/relationships/worksheet" Target="/xl/worksheets/sheet2.xml" Id="R029f267f052a44cc" /><Relationship Type="http://schemas.openxmlformats.org/officeDocument/2006/relationships/worksheet" Target="/xl/worksheets/sheet3.xml" Id="Rc718e871012745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urrentMarketTable" displayName="CurrentMarketTable" ref="A1:Z501" headerRowCount="1" totalsRowCount="0" totalsRowShown="0">
  <x:tableColumns count="26">
    <x:tableColumn id="1" name="listing_id"/>
    <x:tableColumn id="2" name="listing_date"/>
    <x:tableColumn id="3" name="source"/>
    <x:tableColumn id="4" name="source_url"/>
    <x:tableColumn id="5" name="market_segment"/>
    <x:tableColumn id="6" name="project_name"/>
    <x:tableColumn id="7" name="developer"/>
    <x:tableColumn id="8" name="address"/>
    <x:tableColumn id="9" name="city"/>
    <x:tableColumn id="10" name="neighborhood"/>
    <x:tableColumn id="11" name="distance_from_project_km"/>
    <x:tableColumn id="12" name="property_type"/>
    <x:tableColumn id="13" name="rooms"/>
    <x:tableColumn id="14" name="area_sqm"/>
    <x:tableColumn id="15" name="floor"/>
    <x:tableColumn id="16" name="total_floors"/>
    <x:tableColumn id="17" name="asking_price"/>
    <x:tableColumn id="18" name="price_per_sqm"/>
    <x:tableColumn id="19" name="building_year"/>
    <x:tableColumn id="20" name="building_age"/>
    <x:tableColumn id="21" name="condition"/>
    <x:tableColumn id="22" name="balcony_area_sqm"/>
    <x:tableColumn id="23" name="balcony_direction"/>
    <x:tableColumn id="24" name="parking_count"/>
    <x:tableColumn id="25" name="storage_area_sqm"/>
    <x:tableColumn id="26" name="elevat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57f222010b493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28" hidden="0" customWidth="1"/>
    <x:col min="5" max="5" width="14" hidden="0" customWidth="1"/>
    <x:col min="6" max="6" width="20" hidden="0" customWidth="1"/>
    <x:col min="7" max="7" width="22" hidden="0" customWidth="1"/>
    <x:col min="8" max="8" width="24" hidden="0" customWidth="1"/>
    <x:col min="9" max="9" width="12" hidden="0" customWidth="1"/>
    <x:col min="10" max="10" width="24" hidden="0" customWidth="1"/>
    <x:col min="11" max="11" width="12" hidden="0" customWidth="1"/>
    <x:col min="12" max="12" width="18" hidden="0" customWidth="1"/>
    <x:col min="13" max="13" width="8" hidden="0" customWidth="1"/>
    <x:col min="14" max="14" width="10" hidden="0" customWidth="1"/>
    <x:col min="15" max="15" width="8" hidden="0" customWidth="1"/>
    <x:col min="16" max="16" width="10" hidden="0" customWidth="1"/>
    <x:col min="17" max="17" width="15" hidden="0" customWidth="1"/>
    <x:col min="18" max="18" width="14" hidden="0" customWidth="1"/>
    <x:col min="19" max="19" width="12" hidden="0" customWidth="1"/>
    <x:col min="20" max="20" width="10" hidden="0" customWidth="1"/>
    <x:col min="21" max="21" width="18" hidden="0" customWidth="1"/>
    <x:col min="22" max="22" width="14" hidden="0" customWidth="1"/>
    <x:col min="23" max="23" width="16" hidden="0" customWidth="1"/>
    <x:col min="24" max="24" width="12" hidden="0" customWidth="1"/>
    <x:col min="25" max="25" width="14" hidden="0" customWidth="1"/>
    <x:col min="26" max="26" width="10" hidden="0" customWidth="1"/>
    <x:col min="27" max="27" width="20" hidden="0" customWidth="1"/>
    <x:col min="28" max="28" width="14" hidden="0" customWidth="1"/>
    <x:col min="29" max="29" width="14" hidden="0" customWidth="1"/>
    <x:col min="30" max="30" width="12" hidden="0" customWidth="1"/>
  </x:cols>
  <x:sheetData>
    <x:row r="1">
      <x:c r="A1" s="7" t="str">
        <x:v>listing_id</x:v>
      </x:c>
      <x:c r="B1" s="7" t="str">
        <x:v>listing_date</x:v>
      </x:c>
      <x:c r="C1" s="7" t="str">
        <x:v>source</x:v>
      </x:c>
      <x:c r="D1" s="7" t="str">
        <x:v>source_url</x:v>
      </x:c>
      <x:c r="E1" s="7" t="str">
        <x:v>market_segment</x:v>
      </x:c>
      <x:c r="F1" s="7" t="str">
        <x:v>project_name</x:v>
      </x:c>
      <x:c r="G1" s="7" t="str">
        <x:v>developer</x:v>
      </x:c>
      <x:c r="H1" s="7" t="str">
        <x:v>address</x:v>
      </x:c>
      <x:c r="I1" s="7" t="str">
        <x:v>city</x:v>
      </x:c>
      <x:c r="J1" s="7" t="str">
        <x:v>neighborhood</x:v>
      </x:c>
      <x:c r="K1" s="7" t="str">
        <x:v>distance_from_project_km</x:v>
      </x:c>
      <x:c r="L1" s="7" t="str">
        <x:v>property_type</x:v>
      </x:c>
      <x:c r="M1" s="7" t="str">
        <x:v>rooms</x:v>
      </x:c>
      <x:c r="N1" s="7" t="str">
        <x:v>area_sqm</x:v>
      </x:c>
      <x:c r="O1" s="7" t="str">
        <x:v>floor</x:v>
      </x:c>
      <x:c r="P1" s="7" t="str">
        <x:v>total_floors</x:v>
      </x:c>
      <x:c r="Q1" s="7" t="str">
        <x:v>asking_price</x:v>
      </x:c>
      <x:c r="R1" s="7" t="str">
        <x:v>price_per_sqm</x:v>
      </x:c>
      <x:c r="S1" s="7" t="str">
        <x:v>building_year</x:v>
      </x:c>
      <x:c r="T1" s="7" t="str">
        <x:v>building_age</x:v>
      </x:c>
      <x:c r="U1" s="7" t="str">
        <x:v>condition</x:v>
      </x:c>
      <x:c r="V1" s="7" t="str">
        <x:v>balcony_area_sqm</x:v>
      </x:c>
      <x:c r="W1" s="7" t="str">
        <x:v>balcony_direction</x:v>
      </x:c>
      <x:c r="X1" s="7" t="str">
        <x:v>parking_count</x:v>
      </x:c>
      <x:c r="Y1" s="7" t="str">
        <x:v>storage_area_sqm</x:v>
      </x:c>
      <x:c r="Z1" s="7" t="str">
        <x:v>elevator</x:v>
      </x:c>
      <x:c r="AA1" s="29" t="str">
        <x:v>directions</x:v>
      </x:c>
      <x:c r="AB1" s="29" t="str">
        <x:v>garden_area_sqm</x:v>
      </x:c>
      <x:c r="AC1" s="29" t="str">
        <x:v>roof_area_sqm</x:v>
      </x:c>
      <x:c r="AD1" s="29" t="str">
        <x:v>is_top_floor</x:v>
      </x:c>
    </x:row>
    <x:row r="2">
      <x:c r="A2" t="str">
        <x:v>SYN-0001</x:v>
      </x:c>
      <x:c r="B2" s="12" t="n">
        <x:v>46255</x:v>
      </x:c>
      <x:c r="C2" t="str">
        <x:v>Synthetic Yad2-like Listing</x:v>
      </x:c>
      <x:c r="D2" t="str">
        <x:v>https://example.com/listings/SYN-0001</x:v>
      </x:c>
      <x:c r="E2" t="str">
        <x:v>Second Hand</x:v>
      </x:c>
      <x:c r="F2" t="str"/>
      <x:c r="G2" t="str"/>
      <x:c r="H2" t="str">
        <x:v>Jabotinsky 108, Tel Aviv</x:v>
      </x:c>
      <x:c r="I2" t="str">
        <x:v>Tel Aviv</x:v>
      </x:c>
      <x:c r="J2" t="str">
        <x:v>Kikar HaMedina / New North</x:v>
      </x:c>
      <x:c r="K2" s="14" t="n">
        <x:v>0.52</x:v>
      </x:c>
      <x:c r="L2" t="str">
        <x:v>Apartment</x:v>
      </x:c>
      <x:c r="M2" t="n">
        <x:v>2</x:v>
      </x:c>
      <x:c r="N2" s="16" t="n">
        <x:v>49.9</x:v>
      </x:c>
      <x:c r="O2" t="n">
        <x:v>3</x:v>
      </x:c>
      <x:c r="P2" t="n">
        <x:v>6</x:v>
      </x:c>
      <x:c r="Q2" s="18" t="n">
        <x:v>4000000</x:v>
      </x:c>
      <x:c r="R2" s="18" t="n">
        <x:f>IFERROR(Q2/N2,"")</x:f>
        <x:v>80160.32064128257</x:v>
      </x:c>
      <x:c r="S2" t="n">
        <x:v>1998</x:v>
      </x:c>
      <x:c r="T2" t="n">
        <x:v>28</x:v>
      </x:c>
      <x:c r="U2" t="str">
        <x:v>Renovated</x:v>
      </x:c>
      <x:c r="V2" s="16" t="n">
        <x:v>22.3</x:v>
      </x:c>
      <x:c r="W2" t="str">
        <x:v>South</x:v>
      </x:c>
      <x:c r="X2" t="n">
        <x:v>1</x:v>
      </x:c>
      <x:c r="Y2" s="16" t="n">
        <x:v>3.7</x:v>
      </x:c>
      <x:c r="Z2" s="1" t="b">
        <x:v>1</x:v>
      </x:c>
      <x:c r="AA2" t="str">
        <x:v>South</x:v>
      </x:c>
      <x:c r="AB2" s="16" t="n">
        <x:v>0</x:v>
      </x:c>
      <x:c r="AC2" s="16" t="n">
        <x:v>0</x:v>
      </x:c>
      <x:c r="AD2" s="1" t="b">
        <x:v>0</x:v>
      </x:c>
    </x:row>
    <x:row r="3">
      <x:c r="A3" t="str">
        <x:v>SYN-0002</x:v>
      </x:c>
      <x:c r="B3" s="12" t="n">
        <x:v>46227</x:v>
      </x:c>
      <x:c r="C3" t="str">
        <x:v>Synthetic New-Project Listing</x:v>
      </x:c>
      <x:c r="D3" t="str">
        <x:v>https://example.com/listings/SYN-0002</x:v>
      </x:c>
      <x:c r="E3" t="str">
        <x:v>New Project</x:v>
      </x:c>
      <x:c r="F3" t="str">
        <x:v>North TLV Living</x:v>
      </x:c>
      <x:c r="G3" t="str">
        <x:v>Sample Development D</x:v>
      </x:c>
      <x:c r="H3" t="str">
        <x:v>Klay 32, Tel Aviv</x:v>
      </x:c>
      <x:c r="I3" t="str">
        <x:v>Tel Aviv</x:v>
      </x:c>
      <x:c r="J3" t="str">
        <x:v>Kikar HaMedina / New North</x:v>
      </x:c>
      <x:c r="K3" s="14" t="n">
        <x:v>0.48</x:v>
      </x:c>
      <x:c r="L3" t="str">
        <x:v>Apartment</x:v>
      </x:c>
      <x:c r="M3" t="n">
        <x:v>3</x:v>
      </x:c>
      <x:c r="N3" s="16" t="n">
        <x:v>71.4</x:v>
      </x:c>
      <x:c r="O3" t="n">
        <x:v>3</x:v>
      </x:c>
      <x:c r="P3" t="n">
        <x:v>16</x:v>
      </x:c>
      <x:c r="Q3" s="18" t="n">
        <x:v>5890000</x:v>
      </x:c>
      <x:c r="R3" s="18" t="n">
        <x:f>IFERROR(Q3/N3,"")</x:f>
        <x:v>82492.99719887954</x:v>
      </x:c>
      <x:c r="S3" t="n">
        <x:v>2027</x:v>
      </x:c>
      <x:c r="T3" t="n">
        <x:v>0</x:v>
      </x:c>
      <x:c r="U3" t="str">
        <x:v>New</x:v>
      </x:c>
      <x:c r="V3" s="16" t="n">
        <x:v>9.5</x:v>
      </x:c>
      <x:c r="W3" t="str">
        <x:v>North-West</x:v>
      </x:c>
      <x:c r="X3" t="n">
        <x:v>1</x:v>
      </x:c>
      <x:c r="Y3" s="16" t="n">
        <x:v>0</x:v>
      </x:c>
      <x:c r="Z3" s="1" t="b">
        <x:v>1</x:v>
      </x:c>
      <x:c r="AA3" t="str">
        <x:v>North-West</x:v>
      </x:c>
      <x:c r="AB3" s="16" t="n">
        <x:v>0</x:v>
      </x:c>
      <x:c r="AC3" s="16" t="n">
        <x:v>0</x:v>
      </x:c>
      <x:c r="AD3" s="1" t="b">
        <x:v>0</x:v>
      </x:c>
    </x:row>
    <x:row r="4">
      <x:c r="A4" t="str">
        <x:v>SYN-0003</x:v>
      </x:c>
      <x:c r="B4" s="12" t="n">
        <x:v>46214</x:v>
      </x:c>
      <x:c r="C4" t="str">
        <x:v>Synthetic Yad2-like Listing</x:v>
      </x:c>
      <x:c r="D4" t="str">
        <x:v>https://example.com/listings/SYN-0003</x:v>
      </x:c>
      <x:c r="E4" t="str">
        <x:v>Second Hand</x:v>
      </x:c>
      <x:c r="F4" t="str"/>
      <x:c r="G4" t="str"/>
      <x:c r="H4" t="str">
        <x:v>Jabotinsky 175, Tel Aviv</x:v>
      </x:c>
      <x:c r="I4" t="str">
        <x:v>Tel Aviv</x:v>
      </x:c>
      <x:c r="J4" t="str">
        <x:v>Kikar HaMedina / New North</x:v>
      </x:c>
      <x:c r="K4" s="14" t="n">
        <x:v>0.49</x:v>
      </x:c>
      <x:c r="L4" t="str">
        <x:v>Apartment</x:v>
      </x:c>
      <x:c r="M4" t="n">
        <x:v>4</x:v>
      </x:c>
      <x:c r="N4" s="16" t="n">
        <x:v>88.9</x:v>
      </x:c>
      <x:c r="O4" t="n">
        <x:v>3</x:v>
      </x:c>
      <x:c r="P4" t="n">
        <x:v>16</x:v>
      </x:c>
      <x:c r="Q4" s="18" t="n">
        <x:v>6100000</x:v>
      </x:c>
      <x:c r="R4" s="18" t="n">
        <x:f>IFERROR(Q4/N4,"")</x:f>
        <x:v>68616.4229471316</x:v>
      </x:c>
      <x:c r="S4" t="n">
        <x:v>1970</x:v>
      </x:c>
      <x:c r="T4" t="n">
        <x:v>56</x:v>
      </x:c>
      <x:c r="U4" t="str">
        <x:v>Good</x:v>
      </x:c>
      <x:c r="V4" s="16" t="n">
        <x:v>11.7</x:v>
      </x:c>
      <x:c r="W4" t="str">
        <x:v>South</x:v>
      </x:c>
      <x:c r="X4" t="n">
        <x:v>1</x:v>
      </x:c>
      <x:c r="Y4" s="16" t="n">
        <x:v>0</x:v>
      </x:c>
      <x:c r="Z4" s="1" t="b">
        <x:v>1</x:v>
      </x:c>
      <x:c r="AA4" t="str">
        <x:v>South, North</x:v>
      </x:c>
      <x:c r="AB4" s="16" t="n">
        <x:v>0</x:v>
      </x:c>
      <x:c r="AC4" s="16" t="n">
        <x:v>0</x:v>
      </x:c>
      <x:c r="AD4" s="1" t="b">
        <x:v>0</x:v>
      </x:c>
    </x:row>
    <x:row r="5">
      <x:c r="A5" t="str">
        <x:v>SYN-0004</x:v>
      </x:c>
      <x:c r="B5" s="12" t="n">
        <x:v>46213</x:v>
      </x:c>
      <x:c r="C5" t="str">
        <x:v>Synthetic Yad2-like Listing</x:v>
      </x:c>
      <x:c r="D5" t="str">
        <x:v>https://example.com/listings/SYN-0004</x:v>
      </x:c>
      <x:c r="E5" t="str">
        <x:v>Second Hand</x:v>
      </x:c>
      <x:c r="F5" t="str"/>
      <x:c r="G5" t="str"/>
      <x:c r="H5" t="str">
        <x:v>Epstein 81, Tel Aviv</x:v>
      </x:c>
      <x:c r="I5" t="str">
        <x:v>Tel Aviv</x:v>
      </x:c>
      <x:c r="J5" t="str">
        <x:v>Kikar HaMedina / New North</x:v>
      </x:c>
      <x:c r="K5" s="14" t="n">
        <x:v>0.74</x:v>
      </x:c>
      <x:c r="L5" t="str">
        <x:v>Apartment</x:v>
      </x:c>
      <x:c r="M5" t="n">
        <x:v>3</x:v>
      </x:c>
      <x:c r="N5" s="16" t="n">
        <x:v>86.3</x:v>
      </x:c>
      <x:c r="O5" t="n">
        <x:v>11</x:v>
      </x:c>
      <x:c r="P5" t="n">
        <x:v>16</x:v>
      </x:c>
      <x:c r="Q5" s="18" t="n">
        <x:v>5740000</x:v>
      </x:c>
      <x:c r="R5" s="18" t="n">
        <x:f>IFERROR(Q5/N5,"")</x:f>
        <x:v>66512.16685979142</x:v>
      </x:c>
      <x:c r="S5" t="n">
        <x:v>1973</x:v>
      </x:c>
      <x:c r="T5" t="n">
        <x:v>53</x:v>
      </x:c>
      <x:c r="U5" t="str">
        <x:v>Needs Renovation</x:v>
      </x:c>
      <x:c r="V5" s="16" t="n">
        <x:v>20.3</x:v>
      </x:c>
      <x:c r="W5" t="str">
        <x:v>North</x:v>
      </x:c>
      <x:c r="X5" t="n">
        <x:v>1</x:v>
      </x:c>
      <x:c r="Y5" s="16" t="n">
        <x:v>5.2</x:v>
      </x:c>
      <x:c r="Z5" s="1" t="b">
        <x:v>1</x:v>
      </x:c>
      <x:c r="AA5" t="str">
        <x:v>North, East</x:v>
      </x:c>
      <x:c r="AB5" s="16" t="n">
        <x:v>0</x:v>
      </x:c>
      <x:c r="AC5" s="16" t="n">
        <x:v>0</x:v>
      </x:c>
      <x:c r="AD5" s="1" t="b">
        <x:v>0</x:v>
      </x:c>
    </x:row>
    <x:row r="6">
      <x:c r="A6" t="str">
        <x:v>SYN-0005</x:v>
      </x:c>
      <x:c r="B6" s="12" t="n">
        <x:v>46239</x:v>
      </x:c>
      <x:c r="C6" t="str">
        <x:v>Synthetic New-Project Listing</x:v>
      </x:c>
      <x:c r="D6" t="str">
        <x:v>https://example.com/listings/SYN-0005</x:v>
      </x:c>
      <x:c r="E6" t="str">
        <x:v>New Project</x:v>
      </x:c>
      <x:c r="F6" t="str">
        <x:v>Kikar Residence</x:v>
      </x:c>
      <x:c r="G6" t="str">
        <x:v>Sample Development A</x:v>
      </x:c>
      <x:c r="H6" t="str">
        <x:v>Pinkas 109, Tel Aviv</x:v>
      </x:c>
      <x:c r="I6" t="str">
        <x:v>Tel Aviv</x:v>
      </x:c>
      <x:c r="J6" t="str">
        <x:v>Kikar HaMedina / New North</x:v>
      </x:c>
      <x:c r="K6" s="14" t="n">
        <x:v>0.35</x:v>
      </x:c>
      <x:c r="L6" t="str">
        <x:v>Apartment</x:v>
      </x:c>
      <x:c r="M6" t="n">
        <x:v>3</x:v>
      </x:c>
      <x:c r="N6" s="16" t="n">
        <x:v>77.9</x:v>
      </x:c>
      <x:c r="O6" t="n">
        <x:v>4</x:v>
      </x:c>
      <x:c r="P6" t="n">
        <x:v>16</x:v>
      </x:c>
      <x:c r="Q6" s="18" t="n">
        <x:v>6020000</x:v>
      </x:c>
      <x:c r="R6" s="18" t="n">
        <x:f>IFERROR(Q6/N6,"")</x:f>
        <x:v>77278.5622593068</x:v>
      </x:c>
      <x:c r="S6" t="n">
        <x:v>2025</x:v>
      </x:c>
      <x:c r="T6" t="n">
        <x:v>1</x:v>
      </x:c>
      <x:c r="U6" t="str">
        <x:v>New</x:v>
      </x:c>
      <x:c r="V6" s="16" t="n">
        <x:v>14.4</x:v>
      </x:c>
      <x:c r="W6" t="str">
        <x:v>West</x:v>
      </x:c>
      <x:c r="X6" t="n">
        <x:v>0</x:v>
      </x:c>
      <x:c r="Y6" s="16" t="n">
        <x:v>6.5</x:v>
      </x:c>
      <x:c r="Z6" s="1" t="b">
        <x:v>1</x:v>
      </x:c>
      <x:c r="AA6" t="str">
        <x:v>West</x:v>
      </x:c>
      <x:c r="AB6" s="16" t="n">
        <x:v>0</x:v>
      </x:c>
      <x:c r="AC6" s="16" t="n">
        <x:v>0</x:v>
      </x:c>
      <x:c r="AD6" s="1" t="b">
        <x:v>0</x:v>
      </x:c>
    </x:row>
    <x:row r="7">
      <x:c r="A7" t="str">
        <x:v>SYN-0006</x:v>
      </x:c>
      <x:c r="B7" s="12" t="n">
        <x:v>46242</x:v>
      </x:c>
      <x:c r="C7" t="str">
        <x:v>Synthetic Yad2-like Listing</x:v>
      </x:c>
      <x:c r="D7" t="str">
        <x:v>https://example.com/listings/SYN-0006</x:v>
      </x:c>
      <x:c r="E7" t="str">
        <x:v>Second Hand</x:v>
      </x:c>
      <x:c r="F7" t="str"/>
      <x:c r="G7" t="str"/>
      <x:c r="H7" t="str">
        <x:v>Pinkas 130, Tel Aviv</x:v>
      </x:c>
      <x:c r="I7" t="str">
        <x:v>Tel Aviv</x:v>
      </x:c>
      <x:c r="J7" t="str">
        <x:v>Kikar HaMedina / New North</x:v>
      </x:c>
      <x:c r="K7" s="14" t="n">
        <x:v>0.35</x:v>
      </x:c>
      <x:c r="L7" t="str">
        <x:v>Apartment</x:v>
      </x:c>
      <x:c r="M7" t="n">
        <x:v>2</x:v>
      </x:c>
      <x:c r="N7" s="16" t="n">
        <x:v>56.1</x:v>
      </x:c>
      <x:c r="O7" t="n">
        <x:v>10</x:v>
      </x:c>
      <x:c r="P7" t="n">
        <x:v>15</x:v>
      </x:c>
      <x:c r="Q7" s="18" t="n">
        <x:v>3950000</x:v>
      </x:c>
      <x:c r="R7" s="18" t="n">
        <x:f>IFERROR(Q7/N7,"")</x:f>
        <x:v>70409.98217468806</x:v>
      </x:c>
      <x:c r="S7" t="n">
        <x:v>1976</x:v>
      </x:c>
      <x:c r="T7" t="n">
        <x:v>50</x:v>
      </x:c>
      <x:c r="U7" t="str">
        <x:v>Needs Renovation</x:v>
      </x:c>
      <x:c r="V7" s="16" t="n">
        <x:v>12.7</x:v>
      </x:c>
      <x:c r="W7" t="str">
        <x:v>East</x:v>
      </x:c>
      <x:c r="X7" t="n">
        <x:v>1</x:v>
      </x:c>
      <x:c r="Y7" s="16" t="n">
        <x:v>0</x:v>
      </x:c>
      <x:c r="Z7" s="1" t="b">
        <x:v>1</x:v>
      </x:c>
      <x:c r="AA7" t="str">
        <x:v>East, East</x:v>
      </x:c>
      <x:c r="AB7" s="16" t="n">
        <x:v>0</x:v>
      </x:c>
      <x:c r="AC7" s="16" t="n">
        <x:v>0</x:v>
      </x:c>
      <x:c r="AD7" s="1" t="b">
        <x:v>0</x:v>
      </x:c>
    </x:row>
    <x:row r="8">
      <x:c r="A8" t="str">
        <x:v>SYN-0007</x:v>
      </x:c>
      <x:c r="B8" s="12" t="n">
        <x:v>46212</x:v>
      </x:c>
      <x:c r="C8" t="str">
        <x:v>Synthetic New-Project Listing</x:v>
      </x:c>
      <x:c r="D8" t="str">
        <x:v>https://example.com/listings/SYN-0007</x:v>
      </x:c>
      <x:c r="E8" t="str">
        <x:v>New Project</x:v>
      </x:c>
      <x:c r="F8" t="str">
        <x:v>Weizmann Urban</x:v>
      </x:c>
      <x:c r="G8" t="str">
        <x:v>Sample Development B</x:v>
      </x:c>
      <x:c r="H8" t="str">
        <x:v>Helsinki 21, Tel Aviv</x:v>
      </x:c>
      <x:c r="I8" t="str">
        <x:v>Tel Aviv</x:v>
      </x:c>
      <x:c r="J8" t="str">
        <x:v>Kikar HaMedina / New North</x:v>
      </x:c>
      <x:c r="K8" s="14" t="n">
        <x:v>0.11</x:v>
      </x:c>
      <x:c r="L8" t="str">
        <x:v>Apartment</x:v>
      </x:c>
      <x:c r="M8" t="n">
        <x:v>3</x:v>
      </x:c>
      <x:c r="N8" s="16" t="n">
        <x:v>68.7</x:v>
      </x:c>
      <x:c r="O8" t="n">
        <x:v>12</x:v>
      </x:c>
      <x:c r="P8" t="n">
        <x:v>17</x:v>
      </x:c>
      <x:c r="Q8" s="18" t="n">
        <x:v>5710000</x:v>
      </x:c>
      <x:c r="R8" s="18" t="n">
        <x:f>IFERROR(Q8/N8,"")</x:f>
        <x:v>83114.99272197962</x:v>
      </x:c>
      <x:c r="S8" t="n">
        <x:v>2026</x:v>
      </x:c>
      <x:c r="T8" t="n">
        <x:v>0</x:v>
      </x:c>
      <x:c r="U8" t="str">
        <x:v>New</x:v>
      </x:c>
      <x:c r="V8" s="16" t="n">
        <x:v>15.8</x:v>
      </x:c>
      <x:c r="W8" t="str">
        <x:v>South</x:v>
      </x:c>
      <x:c r="X8" t="n">
        <x:v>1</x:v>
      </x:c>
      <x:c r="Y8" s="16" t="n">
        <x:v>0</x:v>
      </x:c>
      <x:c r="Z8" s="1" t="b">
        <x:v>1</x:v>
      </x:c>
      <x:c r="AA8" t="str">
        <x:v>South</x:v>
      </x:c>
      <x:c r="AB8" s="16" t="n">
        <x:v>0</x:v>
      </x:c>
      <x:c r="AC8" s="16" t="n">
        <x:v>0</x:v>
      </x:c>
      <x:c r="AD8" s="1" t="b">
        <x:v>0</x:v>
      </x:c>
    </x:row>
    <x:row r="9">
      <x:c r="A9" t="str">
        <x:v>SYN-0008</x:v>
      </x:c>
      <x:c r="B9" s="12" t="n">
        <x:v>46218</x:v>
      </x:c>
      <x:c r="C9" t="str">
        <x:v>Synthetic Yad2-like Listing</x:v>
      </x:c>
      <x:c r="D9" t="str">
        <x:v>https://example.com/listings/SYN-0008</x:v>
      </x:c>
      <x:c r="E9" t="str">
        <x:v>Second Hand</x:v>
      </x:c>
      <x:c r="F9" t="str"/>
      <x:c r="G9" t="str"/>
      <x:c r="H9" t="str">
        <x:v>Weizmann 64, Tel Aviv</x:v>
      </x:c>
      <x:c r="I9" t="str">
        <x:v>Tel Aviv</x:v>
      </x:c>
      <x:c r="J9" t="str">
        <x:v>Kikar HaMedina / New North</x:v>
      </x:c>
      <x:c r="K9" s="14" t="n">
        <x:v>0.35</x:v>
      </x:c>
      <x:c r="L9" t="str">
        <x:v>Apartment</x:v>
      </x:c>
      <x:c r="M9" t="n">
        <x:v>5</x:v>
      </x:c>
      <x:c r="N9" s="16" t="n">
        <x:v>116.3</x:v>
      </x:c>
      <x:c r="O9" t="n">
        <x:v>8</x:v>
      </x:c>
      <x:c r="P9" t="n">
        <x:v>18</x:v>
      </x:c>
      <x:c r="Q9" s="18" t="n">
        <x:v>8250000</x:v>
      </x:c>
      <x:c r="R9" s="18" t="n">
        <x:f>IFERROR(Q9/N9,"")</x:f>
        <x:v>70937.2312983663</x:v>
      </x:c>
      <x:c r="S9" t="n">
        <x:v>2017</x:v>
      </x:c>
      <x:c r="T9" t="n">
        <x:v>9</x:v>
      </x:c>
      <x:c r="U9" t="str">
        <x:v>Good</x:v>
      </x:c>
      <x:c r="V9" s="16" t="n">
        <x:v>20.9</x:v>
      </x:c>
      <x:c r="W9" t="str">
        <x:v>West</x:v>
      </x:c>
      <x:c r="X9" t="n">
        <x:v>1</x:v>
      </x:c>
      <x:c r="Y9" s="16" t="n">
        <x:v>0</x:v>
      </x:c>
      <x:c r="Z9" s="1" t="b">
        <x:v>1</x:v>
      </x:c>
      <x:c r="AA9" t="str">
        <x:v>West, West</x:v>
      </x:c>
      <x:c r="AB9" s="16" t="n">
        <x:v>0</x:v>
      </x:c>
      <x:c r="AC9" s="16" t="n">
        <x:v>0</x:v>
      </x:c>
      <x:c r="AD9" s="1" t="b">
        <x:v>0</x:v>
      </x:c>
    </x:row>
    <x:row r="10">
      <x:c r="A10" t="str">
        <x:v>SYN-0009</x:v>
      </x:c>
      <x:c r="B10" s="12" t="n">
        <x:v>46250</x:v>
      </x:c>
      <x:c r="C10" t="str">
        <x:v>Synthetic New-Project Listing</x:v>
      </x:c>
      <x:c r="D10" t="str">
        <x:v>https://example.com/listings/SYN-0009</x:v>
      </x:c>
      <x:c r="E10" t="str">
        <x:v>New Project</x:v>
      </x:c>
      <x:c r="F10" t="str">
        <x:v>Medina Boutique</x:v>
      </x:c>
      <x:c r="G10" t="str">
        <x:v>Sample Development E</x:v>
      </x:c>
      <x:c r="H10" t="str">
        <x:v>Lissin 105, Tel Aviv</x:v>
      </x:c>
      <x:c r="I10" t="str">
        <x:v>Tel Aviv</x:v>
      </x:c>
      <x:c r="J10" t="str">
        <x:v>Kikar HaMedina / New North</x:v>
      </x:c>
      <x:c r="K10" s="14" t="n">
        <x:v>0.65</x:v>
      </x:c>
      <x:c r="L10" t="str">
        <x:v>Duplex</x:v>
      </x:c>
      <x:c r="M10" t="n">
        <x:v>4</x:v>
      </x:c>
      <x:c r="N10" s="16" t="n">
        <x:v>89.2</x:v>
      </x:c>
      <x:c r="O10" t="n">
        <x:v>1</x:v>
      </x:c>
      <x:c r="P10" t="n">
        <x:v>18</x:v>
      </x:c>
      <x:c r="Q10" s="18" t="n">
        <x:v>7230000</x:v>
      </x:c>
      <x:c r="R10" s="18" t="n">
        <x:f>IFERROR(Q10/N10,"")</x:f>
        <x:v>81053.81165919283</x:v>
      </x:c>
      <x:c r="S10" t="n">
        <x:v>2027</x:v>
      </x:c>
      <x:c r="T10" t="n">
        <x:v>0</x:v>
      </x:c>
      <x:c r="U10" t="str">
        <x:v>New</x:v>
      </x:c>
      <x:c r="V10" s="16" t="n">
        <x:v>16.2</x:v>
      </x:c>
      <x:c r="W10" t="str">
        <x:v>North-East</x:v>
      </x:c>
      <x:c r="X10" t="n">
        <x:v>1</x:v>
      </x:c>
      <x:c r="Y10" s="16" t="n">
        <x:v>3.9</x:v>
      </x:c>
      <x:c r="Z10" s="1" t="b">
        <x:v>1</x:v>
      </x:c>
      <x:c r="AA10" t="str">
        <x:v>North-East</x:v>
      </x:c>
      <x:c r="AB10" s="16" t="n">
        <x:v>0</x:v>
      </x:c>
      <x:c r="AC10" s="16" t="n">
        <x:v>0</x:v>
      </x:c>
      <x:c r="AD10" s="1" t="b">
        <x:v>0</x:v>
      </x:c>
    </x:row>
    <x:row r="11">
      <x:c r="A11" t="str">
        <x:v>SYN-0010</x:v>
      </x:c>
      <x:c r="B11" s="12" t="n">
        <x:v>46219</x:v>
      </x:c>
      <x:c r="C11" t="str">
        <x:v>Synthetic New-Project Listing</x:v>
      </x:c>
      <x:c r="D11" t="str">
        <x:v>https://example.com/listings/SYN-0010</x:v>
      </x:c>
      <x:c r="E11" t="str">
        <x:v>New Project</x:v>
      </x:c>
      <x:c r="F11" t="str">
        <x:v>North TLV Living</x:v>
      </x:c>
      <x:c r="G11" t="str">
        <x:v>Sample Development D</x:v>
      </x:c>
      <x:c r="H11" t="str">
        <x:v>Klay 26, Tel Aviv</x:v>
      </x:c>
      <x:c r="I11" t="str">
        <x:v>Tel Aviv</x:v>
      </x:c>
      <x:c r="J11" t="str">
        <x:v>Kikar HaMedina / New North</x:v>
      </x:c>
      <x:c r="K11" s="14" t="n">
        <x:v>0.69</x:v>
      </x:c>
      <x:c r="L11" t="str">
        <x:v>Apartment</x:v>
      </x:c>
      <x:c r="M11" t="n">
        <x:v>4</x:v>
      </x:c>
      <x:c r="N11" s="16" t="n">
        <x:v>100.9</x:v>
      </x:c>
      <x:c r="O11" t="n">
        <x:v>0</x:v>
      </x:c>
      <x:c r="P11" t="n">
        <x:v>10</x:v>
      </x:c>
      <x:c r="Q11" s="18" t="n">
        <x:v>8040000</x:v>
      </x:c>
      <x:c r="R11" s="18" t="n">
        <x:f>IFERROR(Q11/N11,"")</x:f>
        <x:v>79682.8543111992</x:v>
      </x:c>
      <x:c r="S11" t="n">
        <x:v>2025</x:v>
      </x:c>
      <x:c r="T11" t="n">
        <x:v>1</x:v>
      </x:c>
      <x:c r="U11" t="str">
        <x:v>New</x:v>
      </x:c>
      <x:c r="V11" s="16" t="n">
        <x:v>11.1</x:v>
      </x:c>
      <x:c r="W11" t="str">
        <x:v>South-West</x:v>
      </x:c>
      <x:c r="X11" t="n">
        <x:v>1</x:v>
      </x:c>
      <x:c r="Y11" s="16" t="n">
        <x:v>6.2</x:v>
      </x:c>
      <x:c r="Z11" s="1" t="b">
        <x:v>1</x:v>
      </x:c>
      <x:c r="AA11" t="str">
        <x:v>South-West, East</x:v>
      </x:c>
      <x:c r="AB11" s="16" t="n">
        <x:v>0</x:v>
      </x:c>
      <x:c r="AC11" s="16" t="n">
        <x:v>0</x:v>
      </x:c>
      <x:c r="AD11" s="1" t="b">
        <x:v>0</x:v>
      </x:c>
    </x:row>
    <x:row r="12">
      <x:c r="A12" t="str">
        <x:v>SYN-0011</x:v>
      </x:c>
      <x:c r="B12" s="12" t="n">
        <x:v>46236</x:v>
      </x:c>
      <x:c r="C12" t="str">
        <x:v>Synthetic New-Project Listing</x:v>
      </x:c>
      <x:c r="D12" t="str">
        <x:v>https://example.com/listings/SYN-0011</x:v>
      </x:c>
      <x:c r="E12" t="str">
        <x:v>New Project</x:v>
      </x:c>
      <x:c r="F12" t="str">
        <x:v>North TLV Living</x:v>
      </x:c>
      <x:c r="G12" t="str">
        <x:v>Sample Development D</x:v>
      </x:c>
      <x:c r="H12" t="str">
        <x:v>Pinkas 15, Tel Aviv</x:v>
      </x:c>
      <x:c r="I12" t="str">
        <x:v>Tel Aviv</x:v>
      </x:c>
      <x:c r="J12" t="str">
        <x:v>Kikar HaMedina / New North</x:v>
      </x:c>
      <x:c r="K12" s="14" t="n">
        <x:v>0.47</x:v>
      </x:c>
      <x:c r="L12" t="str">
        <x:v>Apartment</x:v>
      </x:c>
      <x:c r="M12" t="n">
        <x:v>4</x:v>
      </x:c>
      <x:c r="N12" s="16" t="n">
        <x:v>92.3</x:v>
      </x:c>
      <x:c r="O12" t="n">
        <x:v>6</x:v>
      </x:c>
      <x:c r="P12" t="n">
        <x:v>7</x:v>
      </x:c>
      <x:c r="Q12" s="18" t="n">
        <x:v>7610000</x:v>
      </x:c>
      <x:c r="R12" s="18" t="n">
        <x:f>IFERROR(Q12/N12,"")</x:f>
        <x:v>82448.53737811485</x:v>
      </x:c>
      <x:c r="S12" t="n">
        <x:v>2027</x:v>
      </x:c>
      <x:c r="T12" t="n">
        <x:v>0</x:v>
      </x:c>
      <x:c r="U12" t="str">
        <x:v>New</x:v>
      </x:c>
      <x:c r="V12" s="16" t="n">
        <x:v>14.2</x:v>
      </x:c>
      <x:c r="W12" t="str">
        <x:v>South-West</x:v>
      </x:c>
      <x:c r="X12" t="n">
        <x:v>1</x:v>
      </x:c>
      <x:c r="Y12" s="16" t="n">
        <x:v>8.1</x:v>
      </x:c>
      <x:c r="Z12" s="1" t="b">
        <x:v>1</x:v>
      </x:c>
      <x:c r="AA12" t="str">
        <x:v>South-West, North</x:v>
      </x:c>
      <x:c r="AB12" s="16" t="n">
        <x:v>0</x:v>
      </x:c>
      <x:c r="AC12" s="16" t="n">
        <x:v>19.3</x:v>
      </x:c>
      <x:c r="AD12" s="1" t="b">
        <x:v>1</x:v>
      </x:c>
    </x:row>
    <x:row r="13">
      <x:c r="A13" t="str">
        <x:v>SYN-0012</x:v>
      </x:c>
      <x:c r="B13" s="12" t="n">
        <x:v>46246</x:v>
      </x:c>
      <x:c r="C13" t="str">
        <x:v>Synthetic Yad2-like Listing</x:v>
      </x:c>
      <x:c r="D13" t="str">
        <x:v>https://example.com/listings/SYN-0012</x:v>
      </x:c>
      <x:c r="E13" t="str">
        <x:v>Second Hand</x:v>
      </x:c>
      <x:c r="F13" t="str"/>
      <x:c r="G13" t="str"/>
      <x:c r="H13" t="str">
        <x:v>Weizmann 108, Tel Aviv</x:v>
      </x:c>
      <x:c r="I13" t="str">
        <x:v>Tel Aviv</x:v>
      </x:c>
      <x:c r="J13" t="str">
        <x:v>Kikar HaMedina / New North</x:v>
      </x:c>
      <x:c r="K13" s="14" t="n">
        <x:v>0.3</x:v>
      </x:c>
      <x:c r="L13" t="str">
        <x:v>Apartment</x:v>
      </x:c>
      <x:c r="M13" t="n">
        <x:v>4</x:v>
      </x:c>
      <x:c r="N13" s="16" t="n">
        <x:v>89.1</x:v>
      </x:c>
      <x:c r="O13" t="n">
        <x:v>8</x:v>
      </x:c>
      <x:c r="P13" t="n">
        <x:v>10</x:v>
      </x:c>
      <x:c r="Q13" s="18" t="n">
        <x:v>6780000</x:v>
      </x:c>
      <x:c r="R13" s="18" t="n">
        <x:f>IFERROR(Q13/N13,"")</x:f>
        <x:v>76094.2760942761</x:v>
      </x:c>
      <x:c r="S13" t="n">
        <x:v>1998</x:v>
      </x:c>
      <x:c r="T13" t="n">
        <x:v>28</x:v>
      </x:c>
      <x:c r="U13" t="str">
        <x:v>Renovated</x:v>
      </x:c>
      <x:c r="V13" s="16" t="n">
        <x:v>21.8</x:v>
      </x:c>
      <x:c r="W13" t="str">
        <x:v>South-East</x:v>
      </x:c>
      <x:c r="X13" t="n">
        <x:v>1</x:v>
      </x:c>
      <x:c r="Y13" s="16" t="n">
        <x:v>0</x:v>
      </x:c>
      <x:c r="Z13" s="1" t="b">
        <x:v>1</x:v>
      </x:c>
      <x:c r="AA13" t="str">
        <x:v>South-East</x:v>
      </x:c>
      <x:c r="AB13" s="16" t="n">
        <x:v>0</x:v>
      </x:c>
      <x:c r="AC13" s="16" t="n">
        <x:v>0</x:v>
      </x:c>
      <x:c r="AD13" s="1" t="b">
        <x:v>0</x:v>
      </x:c>
    </x:row>
    <x:row r="14">
      <x:c r="A14" t="str">
        <x:v>SYN-0013</x:v>
      </x:c>
      <x:c r="B14" s="12" t="n">
        <x:v>46238</x:v>
      </x:c>
      <x:c r="C14" t="str">
        <x:v>Synthetic Yad2-like Listing</x:v>
      </x:c>
      <x:c r="D14" t="str">
        <x:v>https://example.com/listings/SYN-0013</x:v>
      </x:c>
      <x:c r="E14" t="str">
        <x:v>Second Hand</x:v>
      </x:c>
      <x:c r="F14" t="str"/>
      <x:c r="G14" t="str"/>
      <x:c r="H14" t="str">
        <x:v>Jabotinsky 90, Tel Aviv</x:v>
      </x:c>
      <x:c r="I14" t="str">
        <x:v>Tel Aviv</x:v>
      </x:c>
      <x:c r="J14" t="str">
        <x:v>Kikar HaMedina / New North</x:v>
      </x:c>
      <x:c r="K14" s="14" t="n">
        <x:v>0.51</x:v>
      </x:c>
      <x:c r="L14" t="str">
        <x:v>Apartment</x:v>
      </x:c>
      <x:c r="M14" t="n">
        <x:v>3</x:v>
      </x:c>
      <x:c r="N14" s="16" t="n">
        <x:v>74.1</x:v>
      </x:c>
      <x:c r="O14" t="n">
        <x:v>10</x:v>
      </x:c>
      <x:c r="P14" t="n">
        <x:v>15</x:v>
      </x:c>
      <x:c r="Q14" s="18" t="n">
        <x:v>4730000</x:v>
      </x:c>
      <x:c r="R14" s="18" t="n">
        <x:f>IFERROR(Q14/N14,"")</x:f>
        <x:v>63832.65856950068</x:v>
      </x:c>
      <x:c r="S14" t="n">
        <x:v>1966</x:v>
      </x:c>
      <x:c r="T14" t="n">
        <x:v>60</x:v>
      </x:c>
      <x:c r="U14" t="str">
        <x:v>Renovated</x:v>
      </x:c>
      <x:c r="V14" s="16" t="n">
        <x:v>0</x:v>
      </x:c>
      <x:c r="W14" t="str"/>
      <x:c r="X14" t="n">
        <x:v>0</x:v>
      </x:c>
      <x:c r="Y14" s="16" t="n">
        <x:v>7.3</x:v>
      </x:c>
      <x:c r="Z14" s="1" t="b">
        <x:v>1</x:v>
      </x:c>
      <x:c r="AA14" t="str">
        <x:v>South-East</x:v>
      </x:c>
      <x:c r="AB14" s="16" t="n">
        <x:v>0</x:v>
      </x:c>
      <x:c r="AC14" s="16" t="n">
        <x:v>0</x:v>
      </x:c>
      <x:c r="AD14" s="1" t="b">
        <x:v>0</x:v>
      </x:c>
    </x:row>
    <x:row r="15">
      <x:c r="A15" t="str">
        <x:v>SYN-0014</x:v>
      </x:c>
      <x:c r="B15" s="12" t="n">
        <x:v>46244</x:v>
      </x:c>
      <x:c r="C15" t="str">
        <x:v>Synthetic Yad2-like Listing</x:v>
      </x:c>
      <x:c r="D15" t="str">
        <x:v>https://example.com/listings/SYN-0014</x:v>
      </x:c>
      <x:c r="E15" t="str">
        <x:v>Second Hand</x:v>
      </x:c>
      <x:c r="F15" t="str"/>
      <x:c r="G15" t="str"/>
      <x:c r="H15" t="str">
        <x:v>Klay 40, Tel Aviv</x:v>
      </x:c>
      <x:c r="I15" t="str">
        <x:v>Tel Aviv</x:v>
      </x:c>
      <x:c r="J15" t="str">
        <x:v>Kikar HaMedina / New North</x:v>
      </x:c>
      <x:c r="K15" s="14" t="n">
        <x:v>0.6</x:v>
      </x:c>
      <x:c r="L15" t="str">
        <x:v>Apartment</x:v>
      </x:c>
      <x:c r="M15" t="n">
        <x:v>4</x:v>
      </x:c>
      <x:c r="N15" s="16" t="n">
        <x:v>107.7</x:v>
      </x:c>
      <x:c r="O15" t="n">
        <x:v>10</x:v>
      </x:c>
      <x:c r="P15" t="n">
        <x:v>11</x:v>
      </x:c>
      <x:c r="Q15" s="18" t="n">
        <x:v>7610000</x:v>
      </x:c>
      <x:c r="R15" s="18" t="n">
        <x:f>IFERROR(Q15/N15,"")</x:f>
        <x:v>70659.23862581245</x:v>
      </x:c>
      <x:c r="S15" t="n">
        <x:v>2016</x:v>
      </x:c>
      <x:c r="T15" t="n">
        <x:v>10</x:v>
      </x:c>
      <x:c r="U15" t="str">
        <x:v>Renovated</x:v>
      </x:c>
      <x:c r="V15" s="16" t="n">
        <x:v>0</x:v>
      </x:c>
      <x:c r="W15" t="str"/>
      <x:c r="X15" t="n">
        <x:v>1</x:v>
      </x:c>
      <x:c r="Y15" s="16" t="n">
        <x:v>0</x:v>
      </x:c>
      <x:c r="Z15" s="1" t="b">
        <x:v>1</x:v>
      </x:c>
      <x:c r="AA15" t="str">
        <x:v>East-West</x:v>
      </x:c>
      <x:c r="AB15" s="16" t="n">
        <x:v>0</x:v>
      </x:c>
      <x:c r="AC15" s="16" t="n">
        <x:v>0</x:v>
      </x:c>
      <x:c r="AD15" s="1" t="b">
        <x:v>1</x:v>
      </x:c>
    </x:row>
    <x:row r="16">
      <x:c r="A16" t="str">
        <x:v>SYN-0015</x:v>
      </x:c>
      <x:c r="B16" s="12" t="n">
        <x:v>46212</x:v>
      </x:c>
      <x:c r="C16" t="str">
        <x:v>Synthetic Yad2-like Listing</x:v>
      </x:c>
      <x:c r="D16" t="str">
        <x:v>https://example.com/listings/SYN-0015</x:v>
      </x:c>
      <x:c r="E16" t="str">
        <x:v>Second Hand</x:v>
      </x:c>
      <x:c r="F16" t="str"/>
      <x:c r="G16" t="str"/>
      <x:c r="H16" t="str">
        <x:v>Weizmann 39, Tel Aviv</x:v>
      </x:c>
      <x:c r="I16" t="str">
        <x:v>Tel Aviv</x:v>
      </x:c>
      <x:c r="J16" t="str">
        <x:v>Kikar HaMedina / New North</x:v>
      </x:c>
      <x:c r="K16" s="14" t="n">
        <x:v>0.4</x:v>
      </x:c>
      <x:c r="L16" t="str">
        <x:v>Apartment</x:v>
      </x:c>
      <x:c r="M16" t="n">
        <x:v>4</x:v>
      </x:c>
      <x:c r="N16" s="16" t="n">
        <x:v>93</x:v>
      </x:c>
      <x:c r="O16" t="n">
        <x:v>0</x:v>
      </x:c>
      <x:c r="P16" t="n">
        <x:v>5</x:v>
      </x:c>
      <x:c r="Q16" s="18" t="n">
        <x:v>6350000</x:v>
      </x:c>
      <x:c r="R16" s="18" t="n">
        <x:f>IFERROR(Q16/N16,"")</x:f>
        <x:v>68279.56989247311</x:v>
      </x:c>
      <x:c r="S16" t="n">
        <x:v>1987</x:v>
      </x:c>
      <x:c r="T16" t="n">
        <x:v>39</x:v>
      </x:c>
      <x:c r="U16" t="str">
        <x:v>Good</x:v>
      </x:c>
      <x:c r="V16" s="16" t="n">
        <x:v>13.3</x:v>
      </x:c>
      <x:c r="W16" t="str">
        <x:v>East</x:v>
      </x:c>
      <x:c r="X16" t="n">
        <x:v>1</x:v>
      </x:c>
      <x:c r="Y16" s="16" t="n">
        <x:v>8.2</x:v>
      </x:c>
      <x:c r="Z16" s="1" t="b">
        <x:v>1</x:v>
      </x:c>
      <x:c r="AA16" t="str">
        <x:v>East, West</x:v>
      </x:c>
      <x:c r="AB16" s="16" t="n">
        <x:v>0</x:v>
      </x:c>
      <x:c r="AC16" s="16" t="n">
        <x:v>0</x:v>
      </x:c>
      <x:c r="AD16" s="1" t="b">
        <x:v>0</x:v>
      </x:c>
    </x:row>
    <x:row r="17">
      <x:c r="A17" t="str">
        <x:v>SYN-0016</x:v>
      </x:c>
      <x:c r="B17" s="12" t="n">
        <x:v>46251</x:v>
      </x:c>
      <x:c r="C17" t="str">
        <x:v>Synthetic New-Project Listing</x:v>
      </x:c>
      <x:c r="D17" t="str">
        <x:v>https://example.com/listings/SYN-0016</x:v>
      </x:c>
      <x:c r="E17" t="str">
        <x:v>New Project</x:v>
      </x:c>
      <x:c r="F17" t="str">
        <x:v>Weizmann Urban</x:v>
      </x:c>
      <x:c r="G17" t="str">
        <x:v>Sample Development B</x:v>
      </x:c>
      <x:c r="H17" t="str">
        <x:v>Pinkas 106, Tel Aviv</x:v>
      </x:c>
      <x:c r="I17" t="str">
        <x:v>Tel Aviv</x:v>
      </x:c>
      <x:c r="J17" t="str">
        <x:v>Kikar HaMedina / New North</x:v>
      </x:c>
      <x:c r="K17" s="14" t="n">
        <x:v>0.53</x:v>
      </x:c>
      <x:c r="L17" t="str">
        <x:v>Apartment</x:v>
      </x:c>
      <x:c r="M17" t="n">
        <x:v>3</x:v>
      </x:c>
      <x:c r="N17" s="16" t="n">
        <x:v>86.5</x:v>
      </x:c>
      <x:c r="O17" t="n">
        <x:v>0</x:v>
      </x:c>
      <x:c r="P17" t="n">
        <x:v>18</x:v>
      </x:c>
      <x:c r="Q17" s="18" t="n">
        <x:v>6550000</x:v>
      </x:c>
      <x:c r="R17" s="18" t="n">
        <x:f>IFERROR(Q17/N17,"")</x:f>
        <x:v>75722.54335260116</x:v>
      </x:c>
      <x:c r="S17" t="n">
        <x:v>2025</x:v>
      </x:c>
      <x:c r="T17" t="n">
        <x:v>1</x:v>
      </x:c>
      <x:c r="U17" t="str">
        <x:v>New</x:v>
      </x:c>
      <x:c r="V17" s="16" t="n">
        <x:v>13.7</x:v>
      </x:c>
      <x:c r="W17" t="str">
        <x:v>South-East</x:v>
      </x:c>
      <x:c r="X17" t="n">
        <x:v>0</x:v>
      </x:c>
      <x:c r="Y17" s="16" t="n">
        <x:v>0</x:v>
      </x:c>
      <x:c r="Z17" s="1" t="b">
        <x:v>1</x:v>
      </x:c>
      <x:c r="AA17" t="str">
        <x:v>South-East, East</x:v>
      </x:c>
      <x:c r="AB17" s="16" t="n">
        <x:v>0</x:v>
      </x:c>
      <x:c r="AC17" s="16" t="n">
        <x:v>0</x:v>
      </x:c>
      <x:c r="AD17" s="1" t="b">
        <x:v>0</x:v>
      </x:c>
    </x:row>
    <x:row r="18">
      <x:c r="A18" t="str">
        <x:v>SYN-0017</x:v>
      </x:c>
      <x:c r="B18" s="12" t="n">
        <x:v>46245</x:v>
      </x:c>
      <x:c r="C18" t="str">
        <x:v>Synthetic Yad2-like Listing</x:v>
      </x:c>
      <x:c r="D18" t="str">
        <x:v>https://example.com/listings/SYN-0017</x:v>
      </x:c>
      <x:c r="E18" t="str">
        <x:v>Second Hand</x:v>
      </x:c>
      <x:c r="F18" t="str"/>
      <x:c r="G18" t="str"/>
      <x:c r="H18" t="str">
        <x:v>Jabotinsky 103, Tel Aviv</x:v>
      </x:c>
      <x:c r="I18" t="str">
        <x:v>Tel Aviv</x:v>
      </x:c>
      <x:c r="J18" t="str">
        <x:v>Kikar HaMedina / New North</x:v>
      </x:c>
      <x:c r="K18" s="14" t="n">
        <x:v>0.57</x:v>
      </x:c>
      <x:c r="L18" t="str">
        <x:v>Apartment</x:v>
      </x:c>
      <x:c r="M18" t="n">
        <x:v>3</x:v>
      </x:c>
      <x:c r="N18" s="16" t="n">
        <x:v>83.1</x:v>
      </x:c>
      <x:c r="O18" t="n">
        <x:v>1</x:v>
      </x:c>
      <x:c r="P18" t="n">
        <x:v>10</x:v>
      </x:c>
      <x:c r="Q18" s="18" t="n">
        <x:v>5320000</x:v>
      </x:c>
      <x:c r="R18" s="18" t="n">
        <x:f>IFERROR(Q18/N18,"")</x:f>
        <x:v>64019.25391095067</x:v>
      </x:c>
      <x:c r="S18" t="n">
        <x:v>1979</x:v>
      </x:c>
      <x:c r="T18" t="n">
        <x:v>47</x:v>
      </x:c>
      <x:c r="U18" t="str">
        <x:v>Good</x:v>
      </x:c>
      <x:c r="V18" s="16" t="n">
        <x:v>0</x:v>
      </x:c>
      <x:c r="W18" t="str"/>
      <x:c r="X18" t="n">
        <x:v>1</x:v>
      </x:c>
      <x:c r="Y18" s="16" t="n">
        <x:v>0</x:v>
      </x:c>
      <x:c r="Z18" s="1" t="b">
        <x:v>1</x:v>
      </x:c>
      <x:c r="AA18" t="str">
        <x:v>South-West</x:v>
      </x:c>
      <x:c r="AB18" s="16" t="n">
        <x:v>0</x:v>
      </x:c>
      <x:c r="AC18" s="16" t="n">
        <x:v>0</x:v>
      </x:c>
      <x:c r="AD18" s="1" t="b">
        <x:v>0</x:v>
      </x:c>
    </x:row>
    <x:row r="19">
      <x:c r="A19" t="str">
        <x:v>SYN-0018</x:v>
      </x:c>
      <x:c r="B19" s="12" t="n">
        <x:v>46216</x:v>
      </x:c>
      <x:c r="C19" t="str">
        <x:v>Synthetic Yad2-like Listing</x:v>
      </x:c>
      <x:c r="D19" t="str">
        <x:v>https://example.com/listings/SYN-0018</x:v>
      </x:c>
      <x:c r="E19" t="str">
        <x:v>Second Hand</x:v>
      </x:c>
      <x:c r="F19" t="str"/>
      <x:c r="G19" t="str"/>
      <x:c r="H19" t="str">
        <x:v>Mosenzon 81, Tel Aviv</x:v>
      </x:c>
      <x:c r="I19" t="str">
        <x:v>Tel Aviv</x:v>
      </x:c>
      <x:c r="J19" t="str">
        <x:v>Kikar HaMedina / New North</x:v>
      </x:c>
      <x:c r="K19" s="14" t="n">
        <x:v>0.92</x:v>
      </x:c>
      <x:c r="L19" t="str">
        <x:v>Apartment</x:v>
      </x:c>
      <x:c r="M19" t="n">
        <x:v>4</x:v>
      </x:c>
      <x:c r="N19" s="16" t="n">
        <x:v>104.9</x:v>
      </x:c>
      <x:c r="O19" t="n">
        <x:v>5</x:v>
      </x:c>
      <x:c r="P19" t="n">
        <x:v>6</x:v>
      </x:c>
      <x:c r="Q19" s="18" t="n">
        <x:v>6820000</x:v>
      </x:c>
      <x:c r="R19" s="18" t="n">
        <x:f>IFERROR(Q19/N19,"")</x:f>
        <x:v>65014.2993326978</x:v>
      </x:c>
      <x:c r="S19" t="n">
        <x:v>1966</x:v>
      </x:c>
      <x:c r="T19" t="n">
        <x:v>60</x:v>
      </x:c>
      <x:c r="U19" t="str">
        <x:v>Good</x:v>
      </x:c>
      <x:c r="V19" s="16" t="n">
        <x:v>0</x:v>
      </x:c>
      <x:c r="W19" t="str"/>
      <x:c r="X19" t="n">
        <x:v>1</x:v>
      </x:c>
      <x:c r="Y19" s="16" t="n">
        <x:v>0</x:v>
      </x:c>
      <x:c r="Z19" s="1" t="b">
        <x:v>1</x:v>
      </x:c>
      <x:c r="AA19" t="str">
        <x:v>West</x:v>
      </x:c>
      <x:c r="AB19" s="16" t="n">
        <x:v>0</x:v>
      </x:c>
      <x:c r="AC19" s="16" t="n">
        <x:v>0</x:v>
      </x:c>
      <x:c r="AD19" s="1" t="b">
        <x:v>1</x:v>
      </x:c>
    </x:row>
    <x:row r="20">
      <x:c r="A20" t="str">
        <x:v>SYN-0019</x:v>
      </x:c>
      <x:c r="B20" s="12" t="n">
        <x:v>46216</x:v>
      </x:c>
      <x:c r="C20" t="str">
        <x:v>Synthetic New-Project Listing</x:v>
      </x:c>
      <x:c r="D20" t="str">
        <x:v>https://example.com/listings/SYN-0019</x:v>
      </x:c>
      <x:c r="E20" t="str">
        <x:v>New Project</x:v>
      </x:c>
      <x:c r="F20" t="str">
        <x:v>Helsinki Gardens</x:v>
      </x:c>
      <x:c r="G20" t="str">
        <x:v>Sample Development C</x:v>
      </x:c>
      <x:c r="H20" t="str">
        <x:v>Epstein 77, Tel Aviv</x:v>
      </x:c>
      <x:c r="I20" t="str">
        <x:v>Tel Aviv</x:v>
      </x:c>
      <x:c r="J20" t="str">
        <x:v>Kikar HaMedina / New North</x:v>
      </x:c>
      <x:c r="K20" s="14" t="n">
        <x:v>0.79</x:v>
      </x:c>
      <x:c r="L20" t="str">
        <x:v>Apartment</x:v>
      </x:c>
      <x:c r="M20" t="n">
        <x:v>4</x:v>
      </x:c>
      <x:c r="N20" s="16" t="n">
        <x:v>88</x:v>
      </x:c>
      <x:c r="O20" t="n">
        <x:v>12</x:v>
      </x:c>
      <x:c r="P20" t="n">
        <x:v>17</x:v>
      </x:c>
      <x:c r="Q20" s="18" t="n">
        <x:v>6860000</x:v>
      </x:c>
      <x:c r="R20" s="18" t="n">
        <x:f>IFERROR(Q20/N20,"")</x:f>
        <x:v>77954.54545454546</x:v>
      </x:c>
      <x:c r="S20" t="n">
        <x:v>2027</x:v>
      </x:c>
      <x:c r="T20" t="n">
        <x:v>0</x:v>
      </x:c>
      <x:c r="U20" t="str">
        <x:v>New</x:v>
      </x:c>
      <x:c r="V20" s="16" t="n">
        <x:v>0</x:v>
      </x:c>
      <x:c r="W20" t="str"/>
      <x:c r="X20" t="n">
        <x:v>1</x:v>
      </x:c>
      <x:c r="Y20" s="16" t="n">
        <x:v>6</x:v>
      </x:c>
      <x:c r="Z20" s="1" t="b">
        <x:v>1</x:v>
      </x:c>
      <x:c r="AA20" t="str">
        <x:v>South-West-East</x:v>
      </x:c>
      <x:c r="AB20" s="16" t="n">
        <x:v>0</x:v>
      </x:c>
      <x:c r="AC20" s="16" t="n">
        <x:v>0</x:v>
      </x:c>
      <x:c r="AD20" s="1" t="b">
        <x:v>0</x:v>
      </x:c>
    </x:row>
    <x:row r="21">
      <x:c r="A21" t="str">
        <x:v>SYN-0020</x:v>
      </x:c>
      <x:c r="B21" s="12" t="n">
        <x:v>46209</x:v>
      </x:c>
      <x:c r="C21" t="str">
        <x:v>Synthetic Yad2-like Listing</x:v>
      </x:c>
      <x:c r="D21" t="str">
        <x:v>https://example.com/listings/SYN-0020</x:v>
      </x:c>
      <x:c r="E21" t="str">
        <x:v>Second Hand</x:v>
      </x:c>
      <x:c r="F21" t="str"/>
      <x:c r="G21" t="str"/>
      <x:c r="H21" t="str">
        <x:v>Jabotinsky 131, Tel Aviv</x:v>
      </x:c>
      <x:c r="I21" t="str">
        <x:v>Tel Aviv</x:v>
      </x:c>
      <x:c r="J21" t="str">
        <x:v>Kikar HaMedina / New North</x:v>
      </x:c>
      <x:c r="K21" s="14" t="n">
        <x:v>0.69</x:v>
      </x:c>
      <x:c r="L21" t="str">
        <x:v>Apartment</x:v>
      </x:c>
      <x:c r="M21" t="n">
        <x:v>5</x:v>
      </x:c>
      <x:c r="N21" s="16" t="n">
        <x:v>129.6</x:v>
      </x:c>
      <x:c r="O21" t="n">
        <x:v>2</x:v>
      </x:c>
      <x:c r="P21" t="n">
        <x:v>13</x:v>
      </x:c>
      <x:c r="Q21" s="18" t="n">
        <x:v>8800000</x:v>
      </x:c>
      <x:c r="R21" s="18" t="n">
        <x:f>IFERROR(Q21/N21,"")</x:f>
        <x:v>67901.23456790124</x:v>
      </x:c>
      <x:c r="S21" t="n">
        <x:v>1989</x:v>
      </x:c>
      <x:c r="T21" t="n">
        <x:v>37</x:v>
      </x:c>
      <x:c r="U21" t="str">
        <x:v>Good</x:v>
      </x:c>
      <x:c r="V21" s="16" t="n">
        <x:v>28</x:v>
      </x:c>
      <x:c r="W21" t="str">
        <x:v>North-East</x:v>
      </x:c>
      <x:c r="X21" t="n">
        <x:v>1</x:v>
      </x:c>
      <x:c r="Y21" s="16" t="n">
        <x:v>0</x:v>
      </x:c>
      <x:c r="Z21" s="1" t="b">
        <x:v>1</x:v>
      </x:c>
      <x:c r="AA21" t="str">
        <x:v>North-East</x:v>
      </x:c>
      <x:c r="AB21" s="16" t="n">
        <x:v>0</x:v>
      </x:c>
      <x:c r="AC21" s="16" t="n">
        <x:v>0</x:v>
      </x:c>
      <x:c r="AD21" s="1" t="b">
        <x:v>0</x:v>
      </x:c>
    </x:row>
    <x:row r="22">
      <x:c r="A22" t="str">
        <x:v>SYN-0021</x:v>
      </x:c>
      <x:c r="B22" s="12" t="n">
        <x:v>46252</x:v>
      </x:c>
      <x:c r="C22" t="str">
        <x:v>Synthetic New-Project Listing</x:v>
      </x:c>
      <x:c r="D22" t="str">
        <x:v>https://example.com/listings/SYN-0021</x:v>
      </x:c>
      <x:c r="E22" t="str">
        <x:v>New Project</x:v>
      </x:c>
      <x:c r="F22" t="str">
        <x:v>Kikar Residence</x:v>
      </x:c>
      <x:c r="G22" t="str">
        <x:v>Sample Development A</x:v>
      </x:c>
      <x:c r="H22" t="str">
        <x:v>Lissin 50, Tel Aviv</x:v>
      </x:c>
      <x:c r="I22" t="str">
        <x:v>Tel Aviv</x:v>
      </x:c>
      <x:c r="J22" t="str">
        <x:v>Kikar HaMedina / New North</x:v>
      </x:c>
      <x:c r="K22" s="14" t="n">
        <x:v>0.55</x:v>
      </x:c>
      <x:c r="L22" t="str">
        <x:v>Apartment</x:v>
      </x:c>
      <x:c r="M22" t="n">
        <x:v>4</x:v>
      </x:c>
      <x:c r="N22" s="16" t="n">
        <x:v>100.4</x:v>
      </x:c>
      <x:c r="O22" t="n">
        <x:v>1</x:v>
      </x:c>
      <x:c r="P22" t="n">
        <x:v>17</x:v>
      </x:c>
      <x:c r="Q22" s="18" t="n">
        <x:v>8140000</x:v>
      </x:c>
      <x:c r="R22" s="18" t="n">
        <x:f>IFERROR(Q22/N22,"")</x:f>
        <x:v>81075.69721115538</x:v>
      </x:c>
      <x:c r="S22" t="n">
        <x:v>2027</x:v>
      </x:c>
      <x:c r="T22" t="n">
        <x:v>0</x:v>
      </x:c>
      <x:c r="U22" t="str">
        <x:v>New</x:v>
      </x:c>
      <x:c r="V22" s="16" t="n">
        <x:v>13</x:v>
      </x:c>
      <x:c r="W22" t="str">
        <x:v>West</x:v>
      </x:c>
      <x:c r="X22" t="n">
        <x:v>1</x:v>
      </x:c>
      <x:c r="Y22" s="16" t="n">
        <x:v>9.9</x:v>
      </x:c>
      <x:c r="Z22" s="1" t="b">
        <x:v>1</x:v>
      </x:c>
      <x:c r="AA22" t="str">
        <x:v>West, West</x:v>
      </x:c>
      <x:c r="AB22" s="16" t="n">
        <x:v>0</x:v>
      </x:c>
      <x:c r="AC22" s="16" t="n">
        <x:v>0</x:v>
      </x:c>
      <x:c r="AD22" s="1" t="b">
        <x:v>0</x:v>
      </x:c>
    </x:row>
    <x:row r="23">
      <x:c r="A23" t="str">
        <x:v>SYN-0022</x:v>
      </x:c>
      <x:c r="B23" s="12" t="n">
        <x:v>46250</x:v>
      </x:c>
      <x:c r="C23" t="str">
        <x:v>Synthetic Yad2-like Listing</x:v>
      </x:c>
      <x:c r="D23" t="str">
        <x:v>https://example.com/listings/SYN-0022</x:v>
      </x:c>
      <x:c r="E23" t="str">
        <x:v>Second Hand</x:v>
      </x:c>
      <x:c r="F23" t="str"/>
      <x:c r="G23" t="str"/>
      <x:c r="H23" t="str">
        <x:v>Klay 144, Tel Aviv</x:v>
      </x:c>
      <x:c r="I23" t="str">
        <x:v>Tel Aviv</x:v>
      </x:c>
      <x:c r="J23" t="str">
        <x:v>Kikar HaMedina / New North</x:v>
      </x:c>
      <x:c r="K23" s="14" t="n">
        <x:v>0.66</x:v>
      </x:c>
      <x:c r="L23" t="str">
        <x:v>Apartment</x:v>
      </x:c>
      <x:c r="M23" t="n">
        <x:v>5</x:v>
      </x:c>
      <x:c r="N23" s="16" t="n">
        <x:v>132.2</x:v>
      </x:c>
      <x:c r="O23" t="n">
        <x:v>3</x:v>
      </x:c>
      <x:c r="P23" t="n">
        <x:v>6</x:v>
      </x:c>
      <x:c r="Q23" s="18" t="n">
        <x:v>8350000</x:v>
      </x:c>
      <x:c r="R23" s="18" t="n">
        <x:f>IFERROR(Q23/N23,"")</x:f>
        <x:v>63161.87594553707</x:v>
      </x:c>
      <x:c r="S23" t="n">
        <x:v>1968</x:v>
      </x:c>
      <x:c r="T23" t="n">
        <x:v>58</x:v>
      </x:c>
      <x:c r="U23" t="str">
        <x:v>Good</x:v>
      </x:c>
      <x:c r="V23" s="16" t="n">
        <x:v>0</x:v>
      </x:c>
      <x:c r="W23" t="str"/>
      <x:c r="X23" t="n">
        <x:v>1</x:v>
      </x:c>
      <x:c r="Y23" s="16" t="n">
        <x:v>0</x:v>
      </x:c>
      <x:c r="Z23" s="1" t="b">
        <x:v>1</x:v>
      </x:c>
      <x:c r="AA23" t="str">
        <x:v>South-West-East</x:v>
      </x:c>
      <x:c r="AB23" s="16" t="n">
        <x:v>0</x:v>
      </x:c>
      <x:c r="AC23" s="16" t="n">
        <x:v>0</x:v>
      </x:c>
      <x:c r="AD23" s="1" t="b">
        <x:v>0</x:v>
      </x:c>
    </x:row>
    <x:row r="24">
      <x:c r="A24" t="str">
        <x:v>SYN-0023</x:v>
      </x:c>
      <x:c r="B24" s="12" t="n">
        <x:v>46248</x:v>
      </x:c>
      <x:c r="C24" t="str">
        <x:v>Synthetic Yad2-like Listing</x:v>
      </x:c>
      <x:c r="D24" t="str">
        <x:v>https://example.com/listings/SYN-0023</x:v>
      </x:c>
      <x:c r="E24" t="str">
        <x:v>Second Hand</x:v>
      </x:c>
      <x:c r="F24" t="str"/>
      <x:c r="G24" t="str"/>
      <x:c r="H24" t="str">
        <x:v>Weizmann 86, Tel Aviv</x:v>
      </x:c>
      <x:c r="I24" t="str">
        <x:v>Tel Aviv</x:v>
      </x:c>
      <x:c r="J24" t="str">
        <x:v>Kikar HaMedina / New North</x:v>
      </x:c>
      <x:c r="K24" s="14" t="n">
        <x:v>0.24</x:v>
      </x:c>
      <x:c r="L24" t="str">
        <x:v>Apartment</x:v>
      </x:c>
      <x:c r="M24" t="n">
        <x:v>3</x:v>
      </x:c>
      <x:c r="N24" s="16" t="n">
        <x:v>85.9</x:v>
      </x:c>
      <x:c r="O24" t="n">
        <x:v>7</x:v>
      </x:c>
      <x:c r="P24" t="n">
        <x:v>10</x:v>
      </x:c>
      <x:c r="Q24" s="18" t="n">
        <x:v>5840000</x:v>
      </x:c>
      <x:c r="R24" s="18" t="n">
        <x:f>IFERROR(Q24/N24,"")</x:f>
        <x:v>67986.0302677532</x:v>
      </x:c>
      <x:c r="S24" t="n">
        <x:v>1975</x:v>
      </x:c>
      <x:c r="T24" t="n">
        <x:v>51</x:v>
      </x:c>
      <x:c r="U24" t="str">
        <x:v>Renovated</x:v>
      </x:c>
      <x:c r="V24" s="16" t="n">
        <x:v>12.1</x:v>
      </x:c>
      <x:c r="W24" t="str">
        <x:v>West</x:v>
      </x:c>
      <x:c r="X24" t="n">
        <x:v>0</x:v>
      </x:c>
      <x:c r="Y24" s="16" t="n">
        <x:v>8.4</x:v>
      </x:c>
      <x:c r="Z24" s="1" t="b">
        <x:v>1</x:v>
      </x:c>
      <x:c r="AA24" t="str">
        <x:v>West, West</x:v>
      </x:c>
      <x:c r="AB24" s="16" t="n">
        <x:v>0</x:v>
      </x:c>
      <x:c r="AC24" s="16" t="n">
        <x:v>0</x:v>
      </x:c>
      <x:c r="AD24" s="1" t="b">
        <x:v>0</x:v>
      </x:c>
    </x:row>
    <x:row r="25">
      <x:c r="A25" t="str">
        <x:v>SYN-0024</x:v>
      </x:c>
      <x:c r="B25" s="12" t="n">
        <x:v>46238</x:v>
      </x:c>
      <x:c r="C25" t="str">
        <x:v>Synthetic New-Project Listing</x:v>
      </x:c>
      <x:c r="D25" t="str">
        <x:v>https://example.com/listings/SYN-0024</x:v>
      </x:c>
      <x:c r="E25" t="str">
        <x:v>New Project</x:v>
      </x:c>
      <x:c r="F25" t="str">
        <x:v>North TLV Living</x:v>
      </x:c>
      <x:c r="G25" t="str">
        <x:v>Sample Development D</x:v>
      </x:c>
      <x:c r="H25" t="str">
        <x:v>Lissin 2, Tel Aviv</x:v>
      </x:c>
      <x:c r="I25" t="str">
        <x:v>Tel Aviv</x:v>
      </x:c>
      <x:c r="J25" t="str">
        <x:v>Kikar HaMedina / New North</x:v>
      </x:c>
      <x:c r="K25" s="14" t="n">
        <x:v>0.59</x:v>
      </x:c>
      <x:c r="L25" t="str">
        <x:v>Apartment</x:v>
      </x:c>
      <x:c r="M25" t="n">
        <x:v>3</x:v>
      </x:c>
      <x:c r="N25" s="16" t="n">
        <x:v>74.5</x:v>
      </x:c>
      <x:c r="O25" t="n">
        <x:v>5</x:v>
      </x:c>
      <x:c r="P25" t="n">
        <x:v>14</x:v>
      </x:c>
      <x:c r="Q25" s="18" t="n">
        <x:v>6620000</x:v>
      </x:c>
      <x:c r="R25" s="18" t="n">
        <x:f>IFERROR(Q25/N25,"")</x:f>
        <x:v>88859.06040268457</x:v>
      </x:c>
      <x:c r="S25" t="n">
        <x:v>2027</x:v>
      </x:c>
      <x:c r="T25" t="n">
        <x:v>0</x:v>
      </x:c>
      <x:c r="U25" t="str">
        <x:v>New</x:v>
      </x:c>
      <x:c r="V25" s="16" t="n">
        <x:v>21.3</x:v>
      </x:c>
      <x:c r="W25" t="str">
        <x:v>South-East</x:v>
      </x:c>
      <x:c r="X25" t="n">
        <x:v>1</x:v>
      </x:c>
      <x:c r="Y25" s="16" t="n">
        <x:v>7.9</x:v>
      </x:c>
      <x:c r="Z25" s="1" t="b">
        <x:v>1</x:v>
      </x:c>
      <x:c r="AA25" t="str">
        <x:v>South-East, West</x:v>
      </x:c>
      <x:c r="AB25" s="16" t="n">
        <x:v>0</x:v>
      </x:c>
      <x:c r="AC25" s="16" t="n">
        <x:v>0</x:v>
      </x:c>
      <x:c r="AD25" s="1" t="b">
        <x:v>0</x:v>
      </x:c>
    </x:row>
    <x:row r="26">
      <x:c r="A26" t="str">
        <x:v>SYN-0025</x:v>
      </x:c>
      <x:c r="B26" s="12" t="n">
        <x:v>46233</x:v>
      </x:c>
      <x:c r="C26" t="str">
        <x:v>Synthetic Yad2-like Listing</x:v>
      </x:c>
      <x:c r="D26" t="str">
        <x:v>https://example.com/listings/SYN-0025</x:v>
      </x:c>
      <x:c r="E26" t="str">
        <x:v>Second Hand</x:v>
      </x:c>
      <x:c r="F26" t="str"/>
      <x:c r="G26" t="str"/>
      <x:c r="H26" t="str">
        <x:v>Pinkas 101, Tel Aviv</x:v>
      </x:c>
      <x:c r="I26" t="str">
        <x:v>Tel Aviv</x:v>
      </x:c>
      <x:c r="J26" t="str">
        <x:v>Kikar HaMedina / New North</x:v>
      </x:c>
      <x:c r="K26" s="14" t="n">
        <x:v>0.55</x:v>
      </x:c>
      <x:c r="L26" t="str">
        <x:v>Apartment</x:v>
      </x:c>
      <x:c r="M26" t="n">
        <x:v>4</x:v>
      </x:c>
      <x:c r="N26" s="16" t="n">
        <x:v>100.1</x:v>
      </x:c>
      <x:c r="O26" t="n">
        <x:v>3</x:v>
      </x:c>
      <x:c r="P26" t="n">
        <x:v>11</x:v>
      </x:c>
      <x:c r="Q26" s="18" t="n">
        <x:v>6950000</x:v>
      </x:c>
      <x:c r="R26" s="18" t="n">
        <x:f>IFERROR(Q26/N26,"")</x:f>
        <x:v>69430.56943056943</x:v>
      </x:c>
      <x:c r="S26" t="n">
        <x:v>2013</x:v>
      </x:c>
      <x:c r="T26" t="n">
        <x:v>13</x:v>
      </x:c>
      <x:c r="U26" t="str">
        <x:v>Good</x:v>
      </x:c>
      <x:c r="V26" s="16" t="n">
        <x:v>8.5</x:v>
      </x:c>
      <x:c r="W26" t="str">
        <x:v>North-West</x:v>
      </x:c>
      <x:c r="X26" t="n">
        <x:v>1</x:v>
      </x:c>
      <x:c r="Y26" s="16" t="n">
        <x:v>0</x:v>
      </x:c>
      <x:c r="Z26" s="1" t="b">
        <x:v>1</x:v>
      </x:c>
      <x:c r="AA26" t="str">
        <x:v>North-West, North</x:v>
      </x:c>
      <x:c r="AB26" s="16" t="n">
        <x:v>0</x:v>
      </x:c>
      <x:c r="AC26" s="16" t="n">
        <x:v>0</x:v>
      </x:c>
      <x:c r="AD26" s="1" t="b">
        <x:v>0</x:v>
      </x:c>
    </x:row>
    <x:row r="27">
      <x:c r="A27" t="str">
        <x:v>SYN-0026</x:v>
      </x:c>
      <x:c r="B27" s="12" t="n">
        <x:v>46216</x:v>
      </x:c>
      <x:c r="C27" t="str">
        <x:v>Synthetic New-Project Listing</x:v>
      </x:c>
      <x:c r="D27" t="str">
        <x:v>https://example.com/listings/SYN-0026</x:v>
      </x:c>
      <x:c r="E27" t="str">
        <x:v>New Project</x:v>
      </x:c>
      <x:c r="F27" t="str">
        <x:v>Kikar Residence</x:v>
      </x:c>
      <x:c r="G27" t="str">
        <x:v>Sample Development A</x:v>
      </x:c>
      <x:c r="H27" t="str">
        <x:v>Mosenzon 58, Tel Aviv</x:v>
      </x:c>
      <x:c r="I27" t="str">
        <x:v>Tel Aviv</x:v>
      </x:c>
      <x:c r="J27" t="str">
        <x:v>Kikar HaMedina / New North</x:v>
      </x:c>
      <x:c r="K27" s="14" t="n">
        <x:v>0.79</x:v>
      </x:c>
      <x:c r="L27" t="str">
        <x:v>Apartment</x:v>
      </x:c>
      <x:c r="M27" t="n">
        <x:v>3</x:v>
      </x:c>
      <x:c r="N27" s="16" t="n">
        <x:v>72.5</x:v>
      </x:c>
      <x:c r="O27" t="n">
        <x:v>7</x:v>
      </x:c>
      <x:c r="P27" t="n">
        <x:v>13</x:v>
      </x:c>
      <x:c r="Q27" s="18" t="n">
        <x:v>6240000</x:v>
      </x:c>
      <x:c r="R27" s="18" t="n">
        <x:f>IFERROR(Q27/N27,"")</x:f>
        <x:v>86068.96551724138</x:v>
      </x:c>
      <x:c r="S27" t="n">
        <x:v>2027</x:v>
      </x:c>
      <x:c r="T27" t="n">
        <x:v>0</x:v>
      </x:c>
      <x:c r="U27" t="str">
        <x:v>New</x:v>
      </x:c>
      <x:c r="V27" s="16" t="n">
        <x:v>12.5</x:v>
      </x:c>
      <x:c r="W27" t="str">
        <x:v>South-East</x:v>
      </x:c>
      <x:c r="X27" t="n">
        <x:v>1</x:v>
      </x:c>
      <x:c r="Y27" s="16" t="n">
        <x:v>3.1</x:v>
      </x:c>
      <x:c r="Z27" s="1" t="b">
        <x:v>1</x:v>
      </x:c>
      <x:c r="AA27" t="str">
        <x:v>South-East, South</x:v>
      </x:c>
      <x:c r="AB27" s="16" t="n">
        <x:v>0</x:v>
      </x:c>
      <x:c r="AC27" s="16" t="n">
        <x:v>0</x:v>
      </x:c>
      <x:c r="AD27" s="1" t="b">
        <x:v>0</x:v>
      </x:c>
    </x:row>
    <x:row r="28">
      <x:c r="A28" t="str">
        <x:v>SYN-0027</x:v>
      </x:c>
      <x:c r="B28" s="12" t="n">
        <x:v>46228</x:v>
      </x:c>
      <x:c r="C28" t="str">
        <x:v>Synthetic Yad2-like Listing</x:v>
      </x:c>
      <x:c r="D28" t="str">
        <x:v>https://example.com/listings/SYN-0027</x:v>
      </x:c>
      <x:c r="E28" t="str">
        <x:v>Second Hand</x:v>
      </x:c>
      <x:c r="F28" t="str"/>
      <x:c r="G28" t="str"/>
      <x:c r="H28" t="str">
        <x:v>Weizmann 80, Tel Aviv</x:v>
      </x:c>
      <x:c r="I28" t="str">
        <x:v>Tel Aviv</x:v>
      </x:c>
      <x:c r="J28" t="str">
        <x:v>Kikar HaMedina / New North</x:v>
      </x:c>
      <x:c r="K28" s="14" t="n">
        <x:v>0.26</x:v>
      </x:c>
      <x:c r="L28" t="str">
        <x:v>Apartment</x:v>
      </x:c>
      <x:c r="M28" t="n">
        <x:v>4</x:v>
      </x:c>
      <x:c r="N28" s="16" t="n">
        <x:v>92.8</x:v>
      </x:c>
      <x:c r="O28" t="n">
        <x:v>7</x:v>
      </x:c>
      <x:c r="P28" t="n">
        <x:v>18</x:v>
      </x:c>
      <x:c r="Q28" s="18" t="n">
        <x:v>6530000</x:v>
      </x:c>
      <x:c r="R28" s="18" t="n">
        <x:f>IFERROR(Q28/N28,"")</x:f>
        <x:v>70366.37931034483</x:v>
      </x:c>
      <x:c r="S28" t="n">
        <x:v>2021</x:v>
      </x:c>
      <x:c r="T28" t="n">
        <x:v>5</x:v>
      </x:c>
      <x:c r="U28" t="str">
        <x:v>Good</x:v>
      </x:c>
      <x:c r="V28" s="16" t="n">
        <x:v>0</x:v>
      </x:c>
      <x:c r="W28" t="str"/>
      <x:c r="X28" t="n">
        <x:v>1</x:v>
      </x:c>
      <x:c r="Y28" s="16" t="n">
        <x:v>5.6</x:v>
      </x:c>
      <x:c r="Z28" s="1" t="b">
        <x:v>1</x:v>
      </x:c>
      <x:c r="AA28" t="str">
        <x:v>South</x:v>
      </x:c>
      <x:c r="AB28" s="16" t="n">
        <x:v>0</x:v>
      </x:c>
      <x:c r="AC28" s="16" t="n">
        <x:v>0</x:v>
      </x:c>
      <x:c r="AD28" s="1" t="b">
        <x:v>0</x:v>
      </x:c>
    </x:row>
    <x:row r="29">
      <x:c r="A29" t="str">
        <x:v>SYN-0028</x:v>
      </x:c>
      <x:c r="B29" s="12" t="n">
        <x:v>46227</x:v>
      </x:c>
      <x:c r="C29" t="str">
        <x:v>Synthetic New-Project Listing</x:v>
      </x:c>
      <x:c r="D29" t="str">
        <x:v>https://example.com/listings/SYN-0028</x:v>
      </x:c>
      <x:c r="E29" t="str">
        <x:v>New Project</x:v>
      </x:c>
      <x:c r="F29" t="str">
        <x:v>North TLV Living</x:v>
      </x:c>
      <x:c r="G29" t="str">
        <x:v>Sample Development D</x:v>
      </x:c>
      <x:c r="H29" t="str">
        <x:v>Mosenzon 18, Tel Aviv</x:v>
      </x:c>
      <x:c r="I29" t="str">
        <x:v>Tel Aviv</x:v>
      </x:c>
      <x:c r="J29" t="str">
        <x:v>Kikar HaMedina / New North</x:v>
      </x:c>
      <x:c r="K29" s="14" t="n">
        <x:v>0.75</x:v>
      </x:c>
      <x:c r="L29" t="str">
        <x:v>Apartment</x:v>
      </x:c>
      <x:c r="M29" t="n">
        <x:v>4</x:v>
      </x:c>
      <x:c r="N29" s="16" t="n">
        <x:v>89.5</x:v>
      </x:c>
      <x:c r="O29" t="n">
        <x:v>11</x:v>
      </x:c>
      <x:c r="P29" t="n">
        <x:v>18</x:v>
      </x:c>
      <x:c r="Q29" s="18" t="n">
        <x:v>7250000</x:v>
      </x:c>
      <x:c r="R29" s="18" t="n">
        <x:f>IFERROR(Q29/N29,"")</x:f>
        <x:v>81005.58659217878</x:v>
      </x:c>
      <x:c r="S29" t="n">
        <x:v>2027</x:v>
      </x:c>
      <x:c r="T29" t="n">
        <x:v>0</x:v>
      </x:c>
      <x:c r="U29" t="str">
        <x:v>New</x:v>
      </x:c>
      <x:c r="V29" s="16" t="n">
        <x:v>20.4</x:v>
      </x:c>
      <x:c r="W29" t="str">
        <x:v>South</x:v>
      </x:c>
      <x:c r="X29" t="n">
        <x:v>1</x:v>
      </x:c>
      <x:c r="Y29" s="16" t="n">
        <x:v>3.3</x:v>
      </x:c>
      <x:c r="Z29" s="1" t="b">
        <x:v>1</x:v>
      </x:c>
      <x:c r="AA29" t="str">
        <x:v>South, West</x:v>
      </x:c>
      <x:c r="AB29" s="16" t="n">
        <x:v>0</x:v>
      </x:c>
      <x:c r="AC29" s="16" t="n">
        <x:v>0</x:v>
      </x:c>
      <x:c r="AD29" s="1" t="b">
        <x:v>0</x:v>
      </x:c>
    </x:row>
    <x:row r="30">
      <x:c r="A30" t="str">
        <x:v>SYN-0029</x:v>
      </x:c>
      <x:c r="B30" s="12" t="n">
        <x:v>46246</x:v>
      </x:c>
      <x:c r="C30" t="str">
        <x:v>Synthetic Yad2-like Listing</x:v>
      </x:c>
      <x:c r="D30" t="str">
        <x:v>https://example.com/listings/SYN-0029</x:v>
      </x:c>
      <x:c r="E30" t="str">
        <x:v>Second Hand</x:v>
      </x:c>
      <x:c r="F30" t="str"/>
      <x:c r="G30" t="str"/>
      <x:c r="H30" t="str">
        <x:v>Epstein 23, Tel Aviv</x:v>
      </x:c>
      <x:c r="I30" t="str">
        <x:v>Tel Aviv</x:v>
      </x:c>
      <x:c r="J30" t="str">
        <x:v>Kikar HaMedina / New North</x:v>
      </x:c>
      <x:c r="K30" s="14" t="n">
        <x:v>0.83</x:v>
      </x:c>
      <x:c r="L30" t="str">
        <x:v>Apartment</x:v>
      </x:c>
      <x:c r="M30" t="n">
        <x:v>5</x:v>
      </x:c>
      <x:c r="N30" s="16" t="n">
        <x:v>130.4</x:v>
      </x:c>
      <x:c r="O30" t="n">
        <x:v>6</x:v>
      </x:c>
      <x:c r="P30" t="n">
        <x:v>9</x:v>
      </x:c>
      <x:c r="Q30" s="18" t="n">
        <x:v>8430000</x:v>
      </x:c>
      <x:c r="R30" s="18" t="n">
        <x:f>IFERROR(Q30/N30,"")</x:f>
        <x:v>64647.239263803676</x:v>
      </x:c>
      <x:c r="S30" t="n">
        <x:v>1987</x:v>
      </x:c>
      <x:c r="T30" t="n">
        <x:v>39</x:v>
      </x:c>
      <x:c r="U30" t="str">
        <x:v>Good</x:v>
      </x:c>
      <x:c r="V30" s="16" t="n">
        <x:v>0</x:v>
      </x:c>
      <x:c r="W30" t="str"/>
      <x:c r="X30" t="n">
        <x:v>1</x:v>
      </x:c>
      <x:c r="Y30" s="16" t="n">
        <x:v>0</x:v>
      </x:c>
      <x:c r="Z30" s="1" t="b">
        <x:v>1</x:v>
      </x:c>
      <x:c r="AA30" t="str">
        <x:v>East</x:v>
      </x:c>
      <x:c r="AB30" s="16" t="n">
        <x:v>0</x:v>
      </x:c>
      <x:c r="AC30" s="16" t="n">
        <x:v>0</x:v>
      </x:c>
      <x:c r="AD30" s="1" t="b">
        <x:v>0</x:v>
      </x:c>
    </x:row>
    <x:row r="31">
      <x:c r="A31" t="str">
        <x:v>SYN-0030</x:v>
      </x:c>
      <x:c r="B31" s="12" t="n">
        <x:v>46209</x:v>
      </x:c>
      <x:c r="C31" t="str">
        <x:v>Synthetic New-Project Listing</x:v>
      </x:c>
      <x:c r="D31" t="str">
        <x:v>https://example.com/listings/SYN-0030</x:v>
      </x:c>
      <x:c r="E31" t="str">
        <x:v>New Project</x:v>
      </x:c>
      <x:c r="F31" t="str">
        <x:v>North TLV Living</x:v>
      </x:c>
      <x:c r="G31" t="str">
        <x:v>Sample Development D</x:v>
      </x:c>
      <x:c r="H31" t="str">
        <x:v>Lissin 143, Tel Aviv</x:v>
      </x:c>
      <x:c r="I31" t="str">
        <x:v>Tel Aviv</x:v>
      </x:c>
      <x:c r="J31" t="str">
        <x:v>Kikar HaMedina / New North</x:v>
      </x:c>
      <x:c r="K31" s="14" t="n">
        <x:v>0.81</x:v>
      </x:c>
      <x:c r="L31" t="str">
        <x:v>Apartment</x:v>
      </x:c>
      <x:c r="M31" t="n">
        <x:v>2</x:v>
      </x:c>
      <x:c r="N31" s="16" t="n">
        <x:v>57.9</x:v>
      </x:c>
      <x:c r="O31" t="n">
        <x:v>2</x:v>
      </x:c>
      <x:c r="P31" t="n">
        <x:v>11</x:v>
      </x:c>
      <x:c r="Q31" s="18" t="n">
        <x:v>5020000</x:v>
      </x:c>
      <x:c r="R31" s="18" t="n">
        <x:f>IFERROR(Q31/N31,"")</x:f>
        <x:v>86701.20898100174</x:v>
      </x:c>
      <x:c r="S31" t="n">
        <x:v>2025</x:v>
      </x:c>
      <x:c r="T31" t="n">
        <x:v>1</x:v>
      </x:c>
      <x:c r="U31" t="str">
        <x:v>New</x:v>
      </x:c>
      <x:c r="V31" s="16" t="n">
        <x:v>13.4</x:v>
      </x:c>
      <x:c r="W31" t="str">
        <x:v>North-East</x:v>
      </x:c>
      <x:c r="X31" t="n">
        <x:v>1</x:v>
      </x:c>
      <x:c r="Y31" s="16" t="n">
        <x:v>4.3</x:v>
      </x:c>
      <x:c r="Z31" s="1" t="b">
        <x:v>1</x:v>
      </x:c>
      <x:c r="AA31" t="str">
        <x:v>North-East, East</x:v>
      </x:c>
      <x:c r="AB31" s="16" t="n">
        <x:v>0</x:v>
      </x:c>
      <x:c r="AC31" s="16" t="n">
        <x:v>0</x:v>
      </x:c>
      <x:c r="AD31" s="1" t="b">
        <x:v>0</x:v>
      </x:c>
    </x:row>
    <x:row r="32">
      <x:c r="A32" t="str">
        <x:v>SYN-0031</x:v>
      </x:c>
      <x:c r="B32" s="12" t="n">
        <x:v>46237</x:v>
      </x:c>
      <x:c r="C32" t="str">
        <x:v>Synthetic New-Project Listing</x:v>
      </x:c>
      <x:c r="D32" t="str">
        <x:v>https://example.com/listings/SYN-0031</x:v>
      </x:c>
      <x:c r="E32" t="str">
        <x:v>New Project</x:v>
      </x:c>
      <x:c r="F32" t="str">
        <x:v>Kikar Residence</x:v>
      </x:c>
      <x:c r="G32" t="str">
        <x:v>Sample Development A</x:v>
      </x:c>
      <x:c r="H32" t="str">
        <x:v>Jabotinsky 177, Tel Aviv</x:v>
      </x:c>
      <x:c r="I32" t="str">
        <x:v>Tel Aviv</x:v>
      </x:c>
      <x:c r="J32" t="str">
        <x:v>Kikar HaMedina / New North</x:v>
      </x:c>
      <x:c r="K32" s="14" t="n">
        <x:v>0.5</x:v>
      </x:c>
      <x:c r="L32" t="str">
        <x:v>Apartment</x:v>
      </x:c>
      <x:c r="M32" t="n">
        <x:v>3</x:v>
      </x:c>
      <x:c r="N32" s="16" t="n">
        <x:v>70.6</x:v>
      </x:c>
      <x:c r="O32" t="n">
        <x:v>10</x:v>
      </x:c>
      <x:c r="P32" t="n">
        <x:v>16</x:v>
      </x:c>
      <x:c r="Q32" s="18" t="n">
        <x:v>5950000</x:v>
      </x:c>
      <x:c r="R32" s="18" t="n">
        <x:f>IFERROR(Q32/N32,"")</x:f>
        <x:v>84277.62039660057</x:v>
      </x:c>
      <x:c r="S32" t="n">
        <x:v>2025</x:v>
      </x:c>
      <x:c r="T32" t="n">
        <x:v>1</x:v>
      </x:c>
      <x:c r="U32" t="str">
        <x:v>New</x:v>
      </x:c>
      <x:c r="V32" s="16" t="n">
        <x:v>14.8</x:v>
      </x:c>
      <x:c r="W32" t="str">
        <x:v>North-West</x:v>
      </x:c>
      <x:c r="X32" t="n">
        <x:v>1</x:v>
      </x:c>
      <x:c r="Y32" s="16" t="n">
        <x:v>5.1</x:v>
      </x:c>
      <x:c r="Z32" s="1" t="b">
        <x:v>1</x:v>
      </x:c>
      <x:c r="AA32" t="str">
        <x:v>North-West, West</x:v>
      </x:c>
      <x:c r="AB32" s="16" t="n">
        <x:v>0</x:v>
      </x:c>
      <x:c r="AC32" s="16" t="n">
        <x:v>0</x:v>
      </x:c>
      <x:c r="AD32" s="1" t="b">
        <x:v>0</x:v>
      </x:c>
    </x:row>
    <x:row r="33">
      <x:c r="A33" t="str">
        <x:v>SYN-0032</x:v>
      </x:c>
      <x:c r="B33" s="12" t="n">
        <x:v>46215</x:v>
      </x:c>
      <x:c r="C33" t="str">
        <x:v>Synthetic Yad2-like Listing</x:v>
      </x:c>
      <x:c r="D33" t="str">
        <x:v>https://example.com/listings/SYN-0032</x:v>
      </x:c>
      <x:c r="E33" t="str">
        <x:v>Second Hand</x:v>
      </x:c>
      <x:c r="F33" t="str"/>
      <x:c r="G33" t="str"/>
      <x:c r="H33" t="str">
        <x:v>Lissin 27, Tel Aviv</x:v>
      </x:c>
      <x:c r="I33" t="str">
        <x:v>Tel Aviv</x:v>
      </x:c>
      <x:c r="J33" t="str">
        <x:v>Kikar HaMedina / New North</x:v>
      </x:c>
      <x:c r="K33" s="14" t="n">
        <x:v>0.77</x:v>
      </x:c>
      <x:c r="L33" t="str">
        <x:v>Apartment</x:v>
      </x:c>
      <x:c r="M33" t="n">
        <x:v>5</x:v>
      </x:c>
      <x:c r="N33" s="16" t="n">
        <x:v>133.6</x:v>
      </x:c>
      <x:c r="O33" t="n">
        <x:v>4</x:v>
      </x:c>
      <x:c r="P33" t="n">
        <x:v>8</x:v>
      </x:c>
      <x:c r="Q33" s="18" t="n">
        <x:v>8940000</x:v>
      </x:c>
      <x:c r="R33" s="18" t="n">
        <x:f>IFERROR(Q33/N33,"")</x:f>
        <x:v>66916.16766467066</x:v>
      </x:c>
      <x:c r="S33" t="n">
        <x:v>1968</x:v>
      </x:c>
      <x:c r="T33" t="n">
        <x:v>58</x:v>
      </x:c>
      <x:c r="U33" t="str">
        <x:v>Good</x:v>
      </x:c>
      <x:c r="V33" s="16" t="n">
        <x:v>25</x:v>
      </x:c>
      <x:c r="W33" t="str">
        <x:v>East</x:v>
      </x:c>
      <x:c r="X33" t="n">
        <x:v>1</x:v>
      </x:c>
      <x:c r="Y33" s="16" t="n">
        <x:v>0</x:v>
      </x:c>
      <x:c r="Z33" s="1" t="b">
        <x:v>1</x:v>
      </x:c>
      <x:c r="AA33" t="str">
        <x:v>East, West</x:v>
      </x:c>
      <x:c r="AB33" s="16" t="n">
        <x:v>0</x:v>
      </x:c>
      <x:c r="AC33" s="16" t="n">
        <x:v>0</x:v>
      </x:c>
      <x:c r="AD33" s="1" t="b">
        <x:v>0</x:v>
      </x:c>
    </x:row>
    <x:row r="34">
      <x:c r="A34" t="str">
        <x:v>SYN-0033</x:v>
      </x:c>
      <x:c r="B34" s="12" t="n">
        <x:v>46232</x:v>
      </x:c>
      <x:c r="C34" t="str">
        <x:v>Synthetic Yad2-like Listing</x:v>
      </x:c>
      <x:c r="D34" t="str">
        <x:v>https://example.com/listings/SYN-0033</x:v>
      </x:c>
      <x:c r="E34" t="str">
        <x:v>Second Hand</x:v>
      </x:c>
      <x:c r="F34" t="str"/>
      <x:c r="G34" t="str"/>
      <x:c r="H34" t="str">
        <x:v>Weizmann 153, Tel Aviv</x:v>
      </x:c>
      <x:c r="I34" t="str">
        <x:v>Tel Aviv</x:v>
      </x:c>
      <x:c r="J34" t="str">
        <x:v>Kikar HaMedina / New North</x:v>
      </x:c>
      <x:c r="K34" s="14" t="n">
        <x:v>0.17</x:v>
      </x:c>
      <x:c r="L34" t="str">
        <x:v>Apartment</x:v>
      </x:c>
      <x:c r="M34" t="n">
        <x:v>3</x:v>
      </x:c>
      <x:c r="N34" s="16" t="n">
        <x:v>84.8</x:v>
      </x:c>
      <x:c r="O34" t="n">
        <x:v>1</x:v>
      </x:c>
      <x:c r="P34" t="n">
        <x:v>17</x:v>
      </x:c>
      <x:c r="Q34" s="18" t="n">
        <x:v>5350000</x:v>
      </x:c>
      <x:c r="R34" s="18" t="n">
        <x:f>IFERROR(Q34/N34,"")</x:f>
        <x:v>63089.622641509435</x:v>
      </x:c>
      <x:c r="S34" t="n">
        <x:v>1965</x:v>
      </x:c>
      <x:c r="T34" t="n">
        <x:v>61</x:v>
      </x:c>
      <x:c r="U34" t="str">
        <x:v>Needs Renovation</x:v>
      </x:c>
      <x:c r="V34" s="16" t="n">
        <x:v>17.2</x:v>
      </x:c>
      <x:c r="W34" t="str">
        <x:v>North</x:v>
      </x:c>
      <x:c r="X34" t="n">
        <x:v>1</x:v>
      </x:c>
      <x:c r="Y34" s="16" t="n">
        <x:v>0</x:v>
      </x:c>
      <x:c r="Z34" s="1" t="b">
        <x:v>0</x:v>
      </x:c>
      <x:c r="AA34" t="str">
        <x:v>North</x:v>
      </x:c>
      <x:c r="AB34" s="16" t="n">
        <x:v>0</x:v>
      </x:c>
      <x:c r="AC34" s="16" t="n">
        <x:v>0</x:v>
      </x:c>
      <x:c r="AD34" s="1" t="b">
        <x:v>0</x:v>
      </x:c>
    </x:row>
    <x:row r="35">
      <x:c r="A35" t="str">
        <x:v>SYN-0034</x:v>
      </x:c>
      <x:c r="B35" s="12" t="n">
        <x:v>46218</x:v>
      </x:c>
      <x:c r="C35" t="str">
        <x:v>Synthetic New-Project Listing</x:v>
      </x:c>
      <x:c r="D35" t="str">
        <x:v>https://example.com/listings/SYN-0034</x:v>
      </x:c>
      <x:c r="E35" t="str">
        <x:v>New Project</x:v>
      </x:c>
      <x:c r="F35" t="str">
        <x:v>Weizmann Urban</x:v>
      </x:c>
      <x:c r="G35" t="str">
        <x:v>Sample Development B</x:v>
      </x:c>
      <x:c r="H35" t="str">
        <x:v>Pinkas 142, Tel Aviv</x:v>
      </x:c>
      <x:c r="I35" t="str">
        <x:v>Tel Aviv</x:v>
      </x:c>
      <x:c r="J35" t="str">
        <x:v>Kikar HaMedina / New North</x:v>
      </x:c>
      <x:c r="K35" s="14" t="n">
        <x:v>0.42</x:v>
      </x:c>
      <x:c r="L35" t="str">
        <x:v>Apartment</x:v>
      </x:c>
      <x:c r="M35" t="n">
        <x:v>4</x:v>
      </x:c>
      <x:c r="N35" s="16" t="n">
        <x:v>96.6</x:v>
      </x:c>
      <x:c r="O35" t="n">
        <x:v>9</x:v>
      </x:c>
      <x:c r="P35" t="n">
        <x:v>10</x:v>
      </x:c>
      <x:c r="Q35" s="18" t="n">
        <x:v>7190000</x:v>
      </x:c>
      <x:c r="R35" s="18" t="n">
        <x:f>IFERROR(Q35/N35,"")</x:f>
        <x:v>74430.64182194618</x:v>
      </x:c>
      <x:c r="S35" t="n">
        <x:v>2025</x:v>
      </x:c>
      <x:c r="T35" t="n">
        <x:v>1</x:v>
      </x:c>
      <x:c r="U35" t="str">
        <x:v>New</x:v>
      </x:c>
      <x:c r="V35" s="16" t="n">
        <x:v>0</x:v>
      </x:c>
      <x:c r="W35" t="str"/>
      <x:c r="X35" t="n">
        <x:v>1</x:v>
      </x:c>
      <x:c r="Y35" s="16" t="n">
        <x:v>7.6</x:v>
      </x:c>
      <x:c r="Z35" s="1" t="b">
        <x:v>1</x:v>
      </x:c>
      <x:c r="AA35" t="str">
        <x:v>East-West</x:v>
      </x:c>
      <x:c r="AB35" s="16" t="n">
        <x:v>0</x:v>
      </x:c>
      <x:c r="AC35" s="16" t="n">
        <x:v>33.8</x:v>
      </x:c>
      <x:c r="AD35" s="1" t="b">
        <x:v>1</x:v>
      </x:c>
    </x:row>
    <x:row r="36">
      <x:c r="A36" t="str">
        <x:v>SYN-0035</x:v>
      </x:c>
      <x:c r="B36" s="12" t="n">
        <x:v>46248</x:v>
      </x:c>
      <x:c r="C36" t="str">
        <x:v>Synthetic New-Project Listing</x:v>
      </x:c>
      <x:c r="D36" t="str">
        <x:v>https://example.com/listings/SYN-0035</x:v>
      </x:c>
      <x:c r="E36" t="str">
        <x:v>New Project</x:v>
      </x:c>
      <x:c r="F36" t="str">
        <x:v>Weizmann Urban</x:v>
      </x:c>
      <x:c r="G36" t="str">
        <x:v>Sample Development B</x:v>
      </x:c>
      <x:c r="H36" t="str">
        <x:v>Weizmann 153, Tel Aviv</x:v>
      </x:c>
      <x:c r="I36" t="str">
        <x:v>Tel Aviv</x:v>
      </x:c>
      <x:c r="J36" t="str">
        <x:v>Kikar HaMedina / New North</x:v>
      </x:c>
      <x:c r="K36" s="14" t="n">
        <x:v>0.38</x:v>
      </x:c>
      <x:c r="L36" t="str">
        <x:v>Apartment</x:v>
      </x:c>
      <x:c r="M36" t="n">
        <x:v>3</x:v>
      </x:c>
      <x:c r="N36" s="16" t="n">
        <x:v>84.8</x:v>
      </x:c>
      <x:c r="O36" t="n">
        <x:v>1</x:v>
      </x:c>
      <x:c r="P36" t="n">
        <x:v>14</x:v>
      </x:c>
      <x:c r="Q36" s="18" t="n">
        <x:v>7160000</x:v>
      </x:c>
      <x:c r="R36" s="18" t="n">
        <x:f>IFERROR(Q36/N36,"")</x:f>
        <x:v>84433.96226415095</x:v>
      </x:c>
      <x:c r="S36" t="n">
        <x:v>2026</x:v>
      </x:c>
      <x:c r="T36" t="n">
        <x:v>0</x:v>
      </x:c>
      <x:c r="U36" t="str">
        <x:v>New</x:v>
      </x:c>
      <x:c r="V36" s="16" t="n">
        <x:v>20.7</x:v>
      </x:c>
      <x:c r="W36" t="str">
        <x:v>West</x:v>
      </x:c>
      <x:c r="X36" t="n">
        <x:v>1</x:v>
      </x:c>
      <x:c r="Y36" s="16" t="n">
        <x:v>7.5</x:v>
      </x:c>
      <x:c r="Z36" s="1" t="b">
        <x:v>1</x:v>
      </x:c>
      <x:c r="AA36" t="str">
        <x:v>West, North</x:v>
      </x:c>
      <x:c r="AB36" s="16" t="n">
        <x:v>0</x:v>
      </x:c>
      <x:c r="AC36" s="16" t="n">
        <x:v>0</x:v>
      </x:c>
      <x:c r="AD36" s="1" t="b">
        <x:v>0</x:v>
      </x:c>
    </x:row>
    <x:row r="37">
      <x:c r="A37" t="str">
        <x:v>SYN-0036</x:v>
      </x:c>
      <x:c r="B37" s="12" t="n">
        <x:v>46206</x:v>
      </x:c>
      <x:c r="C37" t="str">
        <x:v>Synthetic Yad2-like Listing</x:v>
      </x:c>
      <x:c r="D37" t="str">
        <x:v>https://example.com/listings/SYN-0036</x:v>
      </x:c>
      <x:c r="E37" t="str">
        <x:v>Second Hand</x:v>
      </x:c>
      <x:c r="F37" t="str"/>
      <x:c r="G37" t="str"/>
      <x:c r="H37" t="str">
        <x:v>Epstein 151, Tel Aviv</x:v>
      </x:c>
      <x:c r="I37" t="str">
        <x:v>Tel Aviv</x:v>
      </x:c>
      <x:c r="J37" t="str">
        <x:v>Kikar HaMedina / New North</x:v>
      </x:c>
      <x:c r="K37" s="14" t="n">
        <x:v>0.9</x:v>
      </x:c>
      <x:c r="L37" t="str">
        <x:v>Apartment</x:v>
      </x:c>
      <x:c r="M37" t="n">
        <x:v>3</x:v>
      </x:c>
      <x:c r="N37" s="16" t="n">
        <x:v>77.4</x:v>
      </x:c>
      <x:c r="O37" t="n">
        <x:v>7</x:v>
      </x:c>
      <x:c r="P37" t="n">
        <x:v>9</x:v>
      </x:c>
      <x:c r="Q37" s="18" t="n">
        <x:v>4310000</x:v>
      </x:c>
      <x:c r="R37" s="18" t="n">
        <x:f>IFERROR(Q37/N37,"")</x:f>
        <x:v>55684.75452196382</x:v>
      </x:c>
      <x:c r="S37" t="n">
        <x:v>1974</x:v>
      </x:c>
      <x:c r="T37" t="n">
        <x:v>52</x:v>
      </x:c>
      <x:c r="U37" t="str">
        <x:v>Needs Renovation</x:v>
      </x:c>
      <x:c r="V37" s="16" t="n">
        <x:v>0</x:v>
      </x:c>
      <x:c r="W37" t="str"/>
      <x:c r="X37" t="n">
        <x:v>0</x:v>
      </x:c>
      <x:c r="Y37" s="16" t="n">
        <x:v>0</x:v>
      </x:c>
      <x:c r="Z37" s="1" t="b">
        <x:v>1</x:v>
      </x:c>
      <x:c r="AA37" t="str">
        <x:v>West</x:v>
      </x:c>
      <x:c r="AB37" s="16" t="n">
        <x:v>0</x:v>
      </x:c>
      <x:c r="AC37" s="16" t="n">
        <x:v>0</x:v>
      </x:c>
      <x:c r="AD37" s="1" t="b">
        <x:v>0</x:v>
      </x:c>
    </x:row>
    <x:row r="38">
      <x:c r="A38" t="str">
        <x:v>SYN-0037</x:v>
      </x:c>
      <x:c r="B38" s="12" t="n">
        <x:v>46209</x:v>
      </x:c>
      <x:c r="C38" t="str">
        <x:v>Synthetic Yad2-like Listing</x:v>
      </x:c>
      <x:c r="D38" t="str">
        <x:v>https://example.com/listings/SYN-0037</x:v>
      </x:c>
      <x:c r="E38" t="str">
        <x:v>Second Hand</x:v>
      </x:c>
      <x:c r="F38" t="str"/>
      <x:c r="G38" t="str"/>
      <x:c r="H38" t="str">
        <x:v>Pinkas 74, Tel Aviv</x:v>
      </x:c>
      <x:c r="I38" t="str">
        <x:v>Tel Aviv</x:v>
      </x:c>
      <x:c r="J38" t="str">
        <x:v>Kikar HaMedina / New North</x:v>
      </x:c>
      <x:c r="K38" s="14" t="n">
        <x:v>0.39</x:v>
      </x:c>
      <x:c r="L38" t="str">
        <x:v>Apartment</x:v>
      </x:c>
      <x:c r="M38" t="n">
        <x:v>2</x:v>
      </x:c>
      <x:c r="N38" s="16" t="n">
        <x:v>53.3</x:v>
      </x:c>
      <x:c r="O38" t="n">
        <x:v>7</x:v>
      </x:c>
      <x:c r="P38" t="n">
        <x:v>12</x:v>
      </x:c>
      <x:c r="Q38" s="18" t="n">
        <x:v>3650000</x:v>
      </x:c>
      <x:c r="R38" s="18" t="n">
        <x:f>IFERROR(Q38/N38,"")</x:f>
        <x:v>68480.30018761726</x:v>
      </x:c>
      <x:c r="S38" t="n">
        <x:v>1980</x:v>
      </x:c>
      <x:c r="T38" t="n">
        <x:v>46</x:v>
      </x:c>
      <x:c r="U38" t="str">
        <x:v>Good</x:v>
      </x:c>
      <x:c r="V38" s="16" t="n">
        <x:v>18.2</x:v>
      </x:c>
      <x:c r="W38" t="str">
        <x:v>South-West</x:v>
      </x:c>
      <x:c r="X38" t="n">
        <x:v>0</x:v>
      </x:c>
      <x:c r="Y38" s="16" t="n">
        <x:v>0</x:v>
      </x:c>
      <x:c r="Z38" s="1" t="b">
        <x:v>1</x:v>
      </x:c>
      <x:c r="AA38" t="str">
        <x:v>South-West, West</x:v>
      </x:c>
      <x:c r="AB38" s="16" t="n">
        <x:v>0</x:v>
      </x:c>
      <x:c r="AC38" s="16" t="n">
        <x:v>0</x:v>
      </x:c>
      <x:c r="AD38" s="1" t="b">
        <x:v>0</x:v>
      </x:c>
    </x:row>
    <x:row r="39">
      <x:c r="A39" t="str">
        <x:v>SYN-0038</x:v>
      </x:c>
      <x:c r="B39" s="12" t="n">
        <x:v>46205</x:v>
      </x:c>
      <x:c r="C39" t="str">
        <x:v>Synthetic New-Project Listing</x:v>
      </x:c>
      <x:c r="D39" t="str">
        <x:v>https://example.com/listings/SYN-0038</x:v>
      </x:c>
      <x:c r="E39" t="str">
        <x:v>New Project</x:v>
      </x:c>
      <x:c r="F39" t="str">
        <x:v>North TLV Living</x:v>
      </x:c>
      <x:c r="G39" t="str">
        <x:v>Sample Development D</x:v>
      </x:c>
      <x:c r="H39" t="str">
        <x:v>Helsinki 53, Tel Aviv</x:v>
      </x:c>
      <x:c r="I39" t="str">
        <x:v>Tel Aviv</x:v>
      </x:c>
      <x:c r="J39" t="str">
        <x:v>Kikar HaMedina / New North</x:v>
      </x:c>
      <x:c r="K39" s="14" t="n">
        <x:v>0.21</x:v>
      </x:c>
      <x:c r="L39" t="str">
        <x:v>Apartment</x:v>
      </x:c>
      <x:c r="M39" t="n">
        <x:v>3</x:v>
      </x:c>
      <x:c r="N39" s="16" t="n">
        <x:v>87.3</x:v>
      </x:c>
      <x:c r="O39" t="n">
        <x:v>6</x:v>
      </x:c>
      <x:c r="P39" t="n">
        <x:v>15</x:v>
      </x:c>
      <x:c r="Q39" s="18" t="n">
        <x:v>7120000</x:v>
      </x:c>
      <x:c r="R39" s="18" t="n">
        <x:f>IFERROR(Q39/N39,"")</x:f>
        <x:v>81557.84650630012</x:v>
      </x:c>
      <x:c r="S39" t="n">
        <x:v>2026</x:v>
      </x:c>
      <x:c r="T39" t="n">
        <x:v>0</x:v>
      </x:c>
      <x:c r="U39" t="str">
        <x:v>New</x:v>
      </x:c>
      <x:c r="V39" s="16" t="n">
        <x:v>21.9</x:v>
      </x:c>
      <x:c r="W39" t="str">
        <x:v>South-West</x:v>
      </x:c>
      <x:c r="X39" t="n">
        <x:v>1</x:v>
      </x:c>
      <x:c r="Y39" s="16" t="n">
        <x:v>5.5</x:v>
      </x:c>
      <x:c r="Z39" s="1" t="b">
        <x:v>1</x:v>
      </x:c>
      <x:c r="AA39" t="str">
        <x:v>South-West, North</x:v>
      </x:c>
      <x:c r="AB39" s="16" t="n">
        <x:v>0</x:v>
      </x:c>
      <x:c r="AC39" s="16" t="n">
        <x:v>0</x:v>
      </x:c>
      <x:c r="AD39" s="1" t="b">
        <x:v>0</x:v>
      </x:c>
    </x:row>
    <x:row r="40">
      <x:c r="A40" t="str">
        <x:v>SYN-0039</x:v>
      </x:c>
      <x:c r="B40" s="12" t="n">
        <x:v>46236</x:v>
      </x:c>
      <x:c r="C40" t="str">
        <x:v>Synthetic Yad2-like Listing</x:v>
      </x:c>
      <x:c r="D40" t="str">
        <x:v>https://example.com/listings/SYN-0039</x:v>
      </x:c>
      <x:c r="E40" t="str">
        <x:v>Second Hand</x:v>
      </x:c>
      <x:c r="F40" t="str"/>
      <x:c r="G40" t="str"/>
      <x:c r="H40" t="str">
        <x:v>Bavli 121, Tel Aviv</x:v>
      </x:c>
      <x:c r="I40" t="str">
        <x:v>Tel Aviv</x:v>
      </x:c>
      <x:c r="J40" t="str">
        <x:v>Kikar HaMedina / New North</x:v>
      </x:c>
      <x:c r="K40" s="14" t="n">
        <x:v>0.67</x:v>
      </x:c>
      <x:c r="L40" t="str">
        <x:v>Apartment</x:v>
      </x:c>
      <x:c r="M40" t="n">
        <x:v>4</x:v>
      </x:c>
      <x:c r="N40" s="16" t="n">
        <x:v>92.8</x:v>
      </x:c>
      <x:c r="O40" t="n">
        <x:v>2</x:v>
      </x:c>
      <x:c r="P40" t="n">
        <x:v>8</x:v>
      </x:c>
      <x:c r="Q40" s="18" t="n">
        <x:v>7060000</x:v>
      </x:c>
      <x:c r="R40" s="18" t="n">
        <x:f>IFERROR(Q40/N40,"")</x:f>
        <x:v>76077.58620689655</x:v>
      </x:c>
      <x:c r="S40" t="n">
        <x:v>2005</x:v>
      </x:c>
      <x:c r="T40" t="n">
        <x:v>21</x:v>
      </x:c>
      <x:c r="U40" t="str">
        <x:v>Renovated</x:v>
      </x:c>
      <x:c r="V40" s="16" t="n">
        <x:v>9.5</x:v>
      </x:c>
      <x:c r="W40" t="str">
        <x:v>South</x:v>
      </x:c>
      <x:c r="X40" t="n">
        <x:v>1</x:v>
      </x:c>
      <x:c r="Y40" s="16" t="n">
        <x:v>8.8</x:v>
      </x:c>
      <x:c r="Z40" s="1" t="b">
        <x:v>1</x:v>
      </x:c>
      <x:c r="AA40" t="str">
        <x:v>South, West</x:v>
      </x:c>
      <x:c r="AB40" s="16" t="n">
        <x:v>0</x:v>
      </x:c>
      <x:c r="AC40" s="16" t="n">
        <x:v>0</x:v>
      </x:c>
      <x:c r="AD40" s="1" t="b">
        <x:v>0</x:v>
      </x:c>
    </x:row>
    <x:row r="41">
      <x:c r="A41" t="str">
        <x:v>SYN-0040</x:v>
      </x:c>
      <x:c r="B41" s="12" t="n">
        <x:v>46228</x:v>
      </x:c>
      <x:c r="C41" t="str">
        <x:v>Synthetic Yad2-like Listing</x:v>
      </x:c>
      <x:c r="D41" t="str">
        <x:v>https://example.com/listings/SYN-0040</x:v>
      </x:c>
      <x:c r="E41" t="str">
        <x:v>Second Hand</x:v>
      </x:c>
      <x:c r="F41" t="str"/>
      <x:c r="G41" t="str"/>
      <x:c r="H41" t="str">
        <x:v>Lissin 39, Tel Aviv</x:v>
      </x:c>
      <x:c r="I41" t="str">
        <x:v>Tel Aviv</x:v>
      </x:c>
      <x:c r="J41" t="str">
        <x:v>Kikar HaMedina / New North</x:v>
      </x:c>
      <x:c r="K41" s="14" t="n">
        <x:v>0.7</x:v>
      </x:c>
      <x:c r="L41" t="str">
        <x:v>Apartment</x:v>
      </x:c>
      <x:c r="M41" t="n">
        <x:v>2</x:v>
      </x:c>
      <x:c r="N41" s="16" t="n">
        <x:v>47</x:v>
      </x:c>
      <x:c r="O41" t="n">
        <x:v>12</x:v>
      </x:c>
      <x:c r="P41" t="n">
        <x:v>16</x:v>
      </x:c>
      <x:c r="Q41" s="18" t="n">
        <x:v>3250000</x:v>
      </x:c>
      <x:c r="R41" s="18" t="n">
        <x:f>IFERROR(Q41/N41,"")</x:f>
        <x:v>69148.93617021276</x:v>
      </x:c>
      <x:c r="S41" t="n">
        <x:v>1997</x:v>
      </x:c>
      <x:c r="T41" t="n">
        <x:v>29</x:v>
      </x:c>
      <x:c r="U41" t="str">
        <x:v>Needs Renovation</x:v>
      </x:c>
      <x:c r="V41" s="16" t="n">
        <x:v>0</x:v>
      </x:c>
      <x:c r="W41" t="str"/>
      <x:c r="X41" t="n">
        <x:v>1</x:v>
      </x:c>
      <x:c r="Y41" s="16" t="n">
        <x:v>8.1</x:v>
      </x:c>
      <x:c r="Z41" s="1" t="b">
        <x:v>1</x:v>
      </x:c>
      <x:c r="AA41" t="str">
        <x:v>South-West-East</x:v>
      </x:c>
      <x:c r="AB41" s="16" t="n">
        <x:v>0</x:v>
      </x:c>
      <x:c r="AC41" s="16" t="n">
        <x:v>0</x:v>
      </x:c>
      <x:c r="AD41" s="1" t="b">
        <x:v>0</x:v>
      </x:c>
    </x:row>
    <x:row r="42">
      <x:c r="A42" t="str">
        <x:v>SYN-0041</x:v>
      </x:c>
      <x:c r="B42" s="12" t="n">
        <x:v>46210</x:v>
      </x:c>
      <x:c r="C42" t="str">
        <x:v>Synthetic Yad2-like Listing</x:v>
      </x:c>
      <x:c r="D42" t="str">
        <x:v>https://example.com/listings/SYN-0041</x:v>
      </x:c>
      <x:c r="E42" t="str">
        <x:v>Second Hand</x:v>
      </x:c>
      <x:c r="F42" t="str"/>
      <x:c r="G42" t="str"/>
      <x:c r="H42" t="str">
        <x:v>Pinkas 129, Tel Aviv</x:v>
      </x:c>
      <x:c r="I42" t="str">
        <x:v>Tel Aviv</x:v>
      </x:c>
      <x:c r="J42" t="str">
        <x:v>Kikar HaMedina / New North</x:v>
      </x:c>
      <x:c r="K42" s="14" t="n">
        <x:v>0.43</x:v>
      </x:c>
      <x:c r="L42" t="str">
        <x:v>Apartment</x:v>
      </x:c>
      <x:c r="M42" t="n">
        <x:v>3</x:v>
      </x:c>
      <x:c r="N42" s="16" t="n">
        <x:v>69.3</x:v>
      </x:c>
      <x:c r="O42" t="n">
        <x:v>11</x:v>
      </x:c>
      <x:c r="P42" t="n">
        <x:v>13</x:v>
      </x:c>
      <x:c r="Q42" s="18" t="n">
        <x:v>4940000</x:v>
      </x:c>
      <x:c r="R42" s="18" t="n">
        <x:f>IFERROR(Q42/N42,"")</x:f>
        <x:v>71284.2712842713</x:v>
      </x:c>
      <x:c r="S42" t="n">
        <x:v>2011</x:v>
      </x:c>
      <x:c r="T42" t="n">
        <x:v>15</x:v>
      </x:c>
      <x:c r="U42" t="str">
        <x:v>Good</x:v>
      </x:c>
      <x:c r="V42" s="16" t="n">
        <x:v>0</x:v>
      </x:c>
      <x:c r="W42" t="str"/>
      <x:c r="X42" t="n">
        <x:v>1</x:v>
      </x:c>
      <x:c r="Y42" s="16" t="n">
        <x:v>0</x:v>
      </x:c>
      <x:c r="Z42" s="1" t="b">
        <x:v>1</x:v>
      </x:c>
      <x:c r="AA42" t="str">
        <x:v>West</x:v>
      </x:c>
      <x:c r="AB42" s="16" t="n">
        <x:v>0</x:v>
      </x:c>
      <x:c r="AC42" s="16" t="n">
        <x:v>0</x:v>
      </x:c>
      <x:c r="AD42" s="1" t="b">
        <x:v>0</x:v>
      </x:c>
    </x:row>
    <x:row r="43">
      <x:c r="A43" t="str">
        <x:v>SYN-0042</x:v>
      </x:c>
      <x:c r="B43" s="12" t="n">
        <x:v>46238</x:v>
      </x:c>
      <x:c r="C43" t="str">
        <x:v>Synthetic Yad2-like Listing</x:v>
      </x:c>
      <x:c r="D43" t="str">
        <x:v>https://example.com/listings/SYN-0042</x:v>
      </x:c>
      <x:c r="E43" t="str">
        <x:v>Second Hand</x:v>
      </x:c>
      <x:c r="F43" t="str"/>
      <x:c r="G43" t="str"/>
      <x:c r="H43" t="str">
        <x:v>Klay 98, Tel Aviv</x:v>
      </x:c>
      <x:c r="I43" t="str">
        <x:v>Tel Aviv</x:v>
      </x:c>
      <x:c r="J43" t="str">
        <x:v>Kikar HaMedina / New North</x:v>
      </x:c>
      <x:c r="K43" s="14" t="n">
        <x:v>0.6</x:v>
      </x:c>
      <x:c r="L43" t="str">
        <x:v>Apartment</x:v>
      </x:c>
      <x:c r="M43" t="n">
        <x:v>3</x:v>
      </x:c>
      <x:c r="N43" s="16" t="n">
        <x:v>81.6</x:v>
      </x:c>
      <x:c r="O43" t="n">
        <x:v>6</x:v>
      </x:c>
      <x:c r="P43" t="n">
        <x:v>17</x:v>
      </x:c>
      <x:c r="Q43" s="18" t="n">
        <x:v>6430000</x:v>
      </x:c>
      <x:c r="R43" s="18" t="n">
        <x:f>IFERROR(Q43/N43,"")</x:f>
        <x:v>78799.01960784315</x:v>
      </x:c>
      <x:c r="S43" t="n">
        <x:v>2014</x:v>
      </x:c>
      <x:c r="T43" t="n">
        <x:v>12</x:v>
      </x:c>
      <x:c r="U43" t="str">
        <x:v>Renovated</x:v>
      </x:c>
      <x:c r="V43" s="16" t="n">
        <x:v>20.5</x:v>
      </x:c>
      <x:c r="W43" t="str">
        <x:v>North-East</x:v>
      </x:c>
      <x:c r="X43" t="n">
        <x:v>1</x:v>
      </x:c>
      <x:c r="Y43" s="16" t="n">
        <x:v>0</x:v>
      </x:c>
      <x:c r="Z43" s="1" t="b">
        <x:v>1</x:v>
      </x:c>
      <x:c r="AA43" t="str">
        <x:v>North-East, West</x:v>
      </x:c>
      <x:c r="AB43" s="16" t="n">
        <x:v>0</x:v>
      </x:c>
      <x:c r="AC43" s="16" t="n">
        <x:v>0</x:v>
      </x:c>
      <x:c r="AD43" s="1" t="b">
        <x:v>0</x:v>
      </x:c>
    </x:row>
    <x:row r="44">
      <x:c r="A44" t="str">
        <x:v>SYN-0043</x:v>
      </x:c>
      <x:c r="B44" s="12" t="n">
        <x:v>46243</x:v>
      </x:c>
      <x:c r="C44" t="str">
        <x:v>Synthetic New-Project Listing</x:v>
      </x:c>
      <x:c r="D44" t="str">
        <x:v>https://example.com/listings/SYN-0043</x:v>
      </x:c>
      <x:c r="E44" t="str">
        <x:v>New Project</x:v>
      </x:c>
      <x:c r="F44" t="str">
        <x:v>Helsinki Gardens</x:v>
      </x:c>
      <x:c r="G44" t="str">
        <x:v>Sample Development C</x:v>
      </x:c>
      <x:c r="H44" t="str">
        <x:v>Helsinki 38, Tel Aviv</x:v>
      </x:c>
      <x:c r="I44" t="str">
        <x:v>Tel Aviv</x:v>
      </x:c>
      <x:c r="J44" t="str">
        <x:v>Kikar HaMedina / New North</x:v>
      </x:c>
      <x:c r="K44" s="14" t="n">
        <x:v>0.08</x:v>
      </x:c>
      <x:c r="L44" t="str">
        <x:v>Apartment</x:v>
      </x:c>
      <x:c r="M44" t="n">
        <x:v>2</x:v>
      </x:c>
      <x:c r="N44" s="16" t="n">
        <x:v>54.8</x:v>
      </x:c>
      <x:c r="O44" t="n">
        <x:v>4</x:v>
      </x:c>
      <x:c r="P44" t="n">
        <x:v>8</x:v>
      </x:c>
      <x:c r="Q44" s="18" t="n">
        <x:v>4500000</x:v>
      </x:c>
      <x:c r="R44" s="18" t="n">
        <x:f>IFERROR(Q44/N44,"")</x:f>
        <x:v>82116.78832116789</x:v>
      </x:c>
      <x:c r="S44" t="n">
        <x:v>2025</x:v>
      </x:c>
      <x:c r="T44" t="n">
        <x:v>1</x:v>
      </x:c>
      <x:c r="U44" t="str">
        <x:v>New</x:v>
      </x:c>
      <x:c r="V44" s="16" t="n">
        <x:v>9.6</x:v>
      </x:c>
      <x:c r="W44" t="str">
        <x:v>South</x:v>
      </x:c>
      <x:c r="X44" t="n">
        <x:v>1</x:v>
      </x:c>
      <x:c r="Y44" s="16" t="n">
        <x:v>9.3</x:v>
      </x:c>
      <x:c r="Z44" s="1" t="b">
        <x:v>1</x:v>
      </x:c>
      <x:c r="AA44" t="str">
        <x:v>South, South</x:v>
      </x:c>
      <x:c r="AB44" s="16" t="n">
        <x:v>0</x:v>
      </x:c>
      <x:c r="AC44" s="16" t="n">
        <x:v>0</x:v>
      </x:c>
      <x:c r="AD44" s="1" t="b">
        <x:v>0</x:v>
      </x:c>
    </x:row>
    <x:row r="45">
      <x:c r="A45" t="str">
        <x:v>SYN-0044</x:v>
      </x:c>
      <x:c r="B45" s="12" t="n">
        <x:v>46233</x:v>
      </x:c>
      <x:c r="C45" t="str">
        <x:v>Synthetic Yad2-like Listing</x:v>
      </x:c>
      <x:c r="D45" t="str">
        <x:v>https://example.com/listings/SYN-0044</x:v>
      </x:c>
      <x:c r="E45" t="str">
        <x:v>Second Hand</x:v>
      </x:c>
      <x:c r="F45" t="str"/>
      <x:c r="G45" t="str"/>
      <x:c r="H45" t="str">
        <x:v>Lissin 89, Tel Aviv</x:v>
      </x:c>
      <x:c r="I45" t="str">
        <x:v>Tel Aviv</x:v>
      </x:c>
      <x:c r="J45" t="str">
        <x:v>Kikar HaMedina / New North</x:v>
      </x:c>
      <x:c r="K45" s="14" t="n">
        <x:v>0.72</x:v>
      </x:c>
      <x:c r="L45" t="str">
        <x:v>Apartment</x:v>
      </x:c>
      <x:c r="M45" t="n">
        <x:v>4</x:v>
      </x:c>
      <x:c r="N45" s="16" t="n">
        <x:v>92.8</x:v>
      </x:c>
      <x:c r="O45" t="n">
        <x:v>9</x:v>
      </x:c>
      <x:c r="P45" t="n">
        <x:v>12</x:v>
      </x:c>
      <x:c r="Q45" s="18" t="n">
        <x:v>6650000</x:v>
      </x:c>
      <x:c r="R45" s="18" t="n">
        <x:f>IFERROR(Q45/N45,"")</x:f>
        <x:v>71659.4827586207</x:v>
      </x:c>
      <x:c r="S45" t="n">
        <x:v>1994</x:v>
      </x:c>
      <x:c r="T45" t="n">
        <x:v>32</x:v>
      </x:c>
      <x:c r="U45" t="str">
        <x:v>Renovated</x:v>
      </x:c>
      <x:c r="V45" s="16" t="n">
        <x:v>15.4</x:v>
      </x:c>
      <x:c r="W45" t="str">
        <x:v>North</x:v>
      </x:c>
      <x:c r="X45" t="n">
        <x:v>0</x:v>
      </x:c>
      <x:c r="Y45" s="16" t="n">
        <x:v>0</x:v>
      </x:c>
      <x:c r="Z45" s="1" t="b">
        <x:v>1</x:v>
      </x:c>
      <x:c r="AA45" t="str">
        <x:v>North, West</x:v>
      </x:c>
      <x:c r="AB45" s="16" t="n">
        <x:v>0</x:v>
      </x:c>
      <x:c r="AC45" s="16" t="n">
        <x:v>0</x:v>
      </x:c>
      <x:c r="AD45" s="1" t="b">
        <x:v>0</x:v>
      </x:c>
    </x:row>
    <x:row r="46">
      <x:c r="A46" t="str">
        <x:v>SYN-0045</x:v>
      </x:c>
      <x:c r="B46" s="12" t="n">
        <x:v>46216</x:v>
      </x:c>
      <x:c r="C46" t="str">
        <x:v>Synthetic Yad2-like Listing</x:v>
      </x:c>
      <x:c r="D46" t="str">
        <x:v>https://example.com/listings/SYN-0045</x:v>
      </x:c>
      <x:c r="E46" t="str">
        <x:v>Second Hand</x:v>
      </x:c>
      <x:c r="F46" t="str"/>
      <x:c r="G46" t="str"/>
      <x:c r="H46" t="str">
        <x:v>Helsinki 74, Tel Aviv</x:v>
      </x:c>
      <x:c r="I46" t="str">
        <x:v>Tel Aviv</x:v>
      </x:c>
      <x:c r="J46" t="str">
        <x:v>Kikar HaMedina / New North</x:v>
      </x:c>
      <x:c r="K46" s="14" t="n">
        <x:v>0.21</x:v>
      </x:c>
      <x:c r="L46" t="str">
        <x:v>Apartment</x:v>
      </x:c>
      <x:c r="M46" t="n">
        <x:v>3</x:v>
      </x:c>
      <x:c r="N46" s="16" t="n">
        <x:v>73.8</x:v>
      </x:c>
      <x:c r="O46" t="n">
        <x:v>7</x:v>
      </x:c>
      <x:c r="P46" t="n">
        <x:v>9</x:v>
      </x:c>
      <x:c r="Q46" s="18" t="n">
        <x:v>5030000</x:v>
      </x:c>
      <x:c r="R46" s="18" t="n">
        <x:f>IFERROR(Q46/N46,"")</x:f>
        <x:v>68157.18157181572</x:v>
      </x:c>
      <x:c r="S46" t="n">
        <x:v>1960</x:v>
      </x:c>
      <x:c r="T46" t="n">
        <x:v>66</x:v>
      </x:c>
      <x:c r="U46" t="str">
        <x:v>Good</x:v>
      </x:c>
      <x:c r="V46" s="16" t="n">
        <x:v>17.2</x:v>
      </x:c>
      <x:c r="W46" t="str">
        <x:v>North-East</x:v>
      </x:c>
      <x:c r="X46" t="n">
        <x:v>1</x:v>
      </x:c>
      <x:c r="Y46" s="16" t="n">
        <x:v>0</x:v>
      </x:c>
      <x:c r="Z46" s="1" t="b">
        <x:v>1</x:v>
      </x:c>
      <x:c r="AA46" t="str">
        <x:v>North-East</x:v>
      </x:c>
      <x:c r="AB46" s="16" t="n">
        <x:v>0</x:v>
      </x:c>
      <x:c r="AC46" s="16" t="n">
        <x:v>0</x:v>
      </x:c>
      <x:c r="AD46" s="1" t="b">
        <x:v>0</x:v>
      </x:c>
    </x:row>
    <x:row r="47">
      <x:c r="A47" t="str">
        <x:v>SYN-0046</x:v>
      </x:c>
      <x:c r="B47" s="12" t="n">
        <x:v>46227</x:v>
      </x:c>
      <x:c r="C47" t="str">
        <x:v>Synthetic Yad2-like Listing</x:v>
      </x:c>
      <x:c r="D47" t="str">
        <x:v>https://example.com/listings/SYN-0046</x:v>
      </x:c>
      <x:c r="E47" t="str">
        <x:v>Second Hand</x:v>
      </x:c>
      <x:c r="F47" t="str"/>
      <x:c r="G47" t="str"/>
      <x:c r="H47" t="str">
        <x:v>Bavli 84, Tel Aviv</x:v>
      </x:c>
      <x:c r="I47" t="str">
        <x:v>Tel Aviv</x:v>
      </x:c>
      <x:c r="J47" t="str">
        <x:v>Kikar HaMedina / New North</x:v>
      </x:c>
      <x:c r="K47" s="14" t="n">
        <x:v>0.68</x:v>
      </x:c>
      <x:c r="L47" t="str">
        <x:v>Apartment</x:v>
      </x:c>
      <x:c r="M47" t="n">
        <x:v>4</x:v>
      </x:c>
      <x:c r="N47" s="16" t="n">
        <x:v>102.4</x:v>
      </x:c>
      <x:c r="O47" t="n">
        <x:v>10</x:v>
      </x:c>
      <x:c r="P47" t="n">
        <x:v>13</x:v>
      </x:c>
      <x:c r="Q47" s="18" t="n">
        <x:v>7310000</x:v>
      </x:c>
      <x:c r="R47" s="18" t="n">
        <x:f>IFERROR(Q47/N47,"")</x:f>
        <x:v>71386.71875</x:v>
      </x:c>
      <x:c r="S47" t="n">
        <x:v>2006</x:v>
      </x:c>
      <x:c r="T47" t="n">
        <x:v>20</x:v>
      </x:c>
      <x:c r="U47" t="str">
        <x:v>Renovated</x:v>
      </x:c>
      <x:c r="V47" s="16" t="n">
        <x:v>0</x:v>
      </x:c>
      <x:c r="W47" t="str"/>
      <x:c r="X47" t="n">
        <x:v>1</x:v>
      </x:c>
      <x:c r="Y47" s="16" t="n">
        <x:v>6.1</x:v>
      </x:c>
      <x:c r="Z47" s="1" t="b">
        <x:v>1</x:v>
      </x:c>
      <x:c r="AA47" t="str">
        <x:v>East</x:v>
      </x:c>
      <x:c r="AB47" s="16" t="n">
        <x:v>0</x:v>
      </x:c>
      <x:c r="AC47" s="16" t="n">
        <x:v>0</x:v>
      </x:c>
      <x:c r="AD47" s="1" t="b">
        <x:v>0</x:v>
      </x:c>
    </x:row>
    <x:row r="48">
      <x:c r="A48" t="str">
        <x:v>SYN-0047</x:v>
      </x:c>
      <x:c r="B48" s="12" t="n">
        <x:v>46204</x:v>
      </x:c>
      <x:c r="C48" t="str">
        <x:v>Synthetic Yad2-like Listing</x:v>
      </x:c>
      <x:c r="D48" t="str">
        <x:v>https://example.com/listings/SYN-0047</x:v>
      </x:c>
      <x:c r="E48" t="str">
        <x:v>Second Hand</x:v>
      </x:c>
      <x:c r="F48" t="str"/>
      <x:c r="G48" t="str"/>
      <x:c r="H48" t="str">
        <x:v>Jabotinsky 102, Tel Aviv</x:v>
      </x:c>
      <x:c r="I48" t="str">
        <x:v>Tel Aviv</x:v>
      </x:c>
      <x:c r="J48" t="str">
        <x:v>Kikar HaMedina / New North</x:v>
      </x:c>
      <x:c r="K48" s="14" t="n">
        <x:v>0.63</x:v>
      </x:c>
      <x:c r="L48" t="str">
        <x:v>Apartment</x:v>
      </x:c>
      <x:c r="M48" t="n">
        <x:v>5</x:v>
      </x:c>
      <x:c r="N48" s="16" t="n">
        <x:v>133.6</x:v>
      </x:c>
      <x:c r="O48" t="n">
        <x:v>4</x:v>
      </x:c>
      <x:c r="P48" t="n">
        <x:v>18</x:v>
      </x:c>
      <x:c r="Q48" s="18" t="n">
        <x:v>8910000</x:v>
      </x:c>
      <x:c r="R48" s="18" t="n">
        <x:f>IFERROR(Q48/N48,"")</x:f>
        <x:v>66691.61676646706</x:v>
      </x:c>
      <x:c r="S48" t="n">
        <x:v>1964</x:v>
      </x:c>
      <x:c r="T48" t="n">
        <x:v>62</x:v>
      </x:c>
      <x:c r="U48" t="str">
        <x:v>Renovated</x:v>
      </x:c>
      <x:c r="V48" s="16" t="n">
        <x:v>0</x:v>
      </x:c>
      <x:c r="W48" t="str"/>
      <x:c r="X48" t="n">
        <x:v>1</x:v>
      </x:c>
      <x:c r="Y48" s="16" t="n">
        <x:v>0</x:v>
      </x:c>
      <x:c r="Z48" s="1" t="b">
        <x:v>1</x:v>
      </x:c>
      <x:c r="AA48" t="str">
        <x:v>South-West</x:v>
      </x:c>
      <x:c r="AB48" s="16" t="n">
        <x:v>0</x:v>
      </x:c>
      <x:c r="AC48" s="16" t="n">
        <x:v>0</x:v>
      </x:c>
      <x:c r="AD48" s="1" t="b">
        <x:v>0</x:v>
      </x:c>
    </x:row>
    <x:row r="49">
      <x:c r="A49" t="str">
        <x:v>SYN-0048</x:v>
      </x:c>
      <x:c r="B49" s="12" t="n">
        <x:v>46211</x:v>
      </x:c>
      <x:c r="C49" t="str">
        <x:v>Synthetic New-Project Listing</x:v>
      </x:c>
      <x:c r="D49" t="str">
        <x:v>https://example.com/listings/SYN-0048</x:v>
      </x:c>
      <x:c r="E49" t="str">
        <x:v>New Project</x:v>
      </x:c>
      <x:c r="F49" t="str">
        <x:v>Helsinki Gardens</x:v>
      </x:c>
      <x:c r="G49" t="str">
        <x:v>Sample Development C</x:v>
      </x:c>
      <x:c r="H49" t="str">
        <x:v>Epstein 57, Tel Aviv</x:v>
      </x:c>
      <x:c r="I49" t="str">
        <x:v>Tel Aviv</x:v>
      </x:c>
      <x:c r="J49" t="str">
        <x:v>Kikar HaMedina / New North</x:v>
      </x:c>
      <x:c r="K49" s="14" t="n">
        <x:v>0.75</x:v>
      </x:c>
      <x:c r="L49" t="str">
        <x:v>Apartment</x:v>
      </x:c>
      <x:c r="M49" t="n">
        <x:v>2</x:v>
      </x:c>
      <x:c r="N49" s="16" t="n">
        <x:v>51.2</x:v>
      </x:c>
      <x:c r="O49" t="n">
        <x:v>11</x:v>
      </x:c>
      <x:c r="P49" t="n">
        <x:v>17</x:v>
      </x:c>
      <x:c r="Q49" s="18" t="n">
        <x:v>4610000</x:v>
      </x:c>
      <x:c r="R49" s="18" t="n">
        <x:f>IFERROR(Q49/N49,"")</x:f>
        <x:v>90039.0625</x:v>
      </x:c>
      <x:c r="S49" t="n">
        <x:v>2027</x:v>
      </x:c>
      <x:c r="T49" t="n">
        <x:v>0</x:v>
      </x:c>
      <x:c r="U49" t="str">
        <x:v>New</x:v>
      </x:c>
      <x:c r="V49" s="16" t="n">
        <x:v>18.2</x:v>
      </x:c>
      <x:c r="W49" t="str">
        <x:v>North-West</x:v>
      </x:c>
      <x:c r="X49" t="n">
        <x:v>1</x:v>
      </x:c>
      <x:c r="Y49" s="16" t="n">
        <x:v>3.2</x:v>
      </x:c>
      <x:c r="Z49" s="1" t="b">
        <x:v>1</x:v>
      </x:c>
      <x:c r="AA49" t="str">
        <x:v>North-West</x:v>
      </x:c>
      <x:c r="AB49" s="16" t="n">
        <x:v>0</x:v>
      </x:c>
      <x:c r="AC49" s="16" t="n">
        <x:v>0</x:v>
      </x:c>
      <x:c r="AD49" s="1" t="b">
        <x:v>0</x:v>
      </x:c>
    </x:row>
    <x:row r="50">
      <x:c r="A50" t="str">
        <x:v>SYN-0049</x:v>
      </x:c>
      <x:c r="B50" s="12" t="n">
        <x:v>46219</x:v>
      </x:c>
      <x:c r="C50" t="str">
        <x:v>Synthetic New-Project Listing</x:v>
      </x:c>
      <x:c r="D50" t="str">
        <x:v>https://example.com/listings/SYN-0049</x:v>
      </x:c>
      <x:c r="E50" t="str">
        <x:v>New Project</x:v>
      </x:c>
      <x:c r="F50" t="str">
        <x:v>Weizmann Urban</x:v>
      </x:c>
      <x:c r="G50" t="str">
        <x:v>Sample Development B</x:v>
      </x:c>
      <x:c r="H50" t="str">
        <x:v>Biltmore 158, Tel Aviv</x:v>
      </x:c>
      <x:c r="I50" t="str">
        <x:v>Tel Aviv</x:v>
      </x:c>
      <x:c r="J50" t="str">
        <x:v>Kikar HaMedina / New North</x:v>
      </x:c>
      <x:c r="K50" s="14" t="n">
        <x:v>0.81</x:v>
      </x:c>
      <x:c r="L50" t="str">
        <x:v>Apartment</x:v>
      </x:c>
      <x:c r="M50" t="n">
        <x:v>5</x:v>
      </x:c>
      <x:c r="N50" s="16" t="n">
        <x:v>119.9</x:v>
      </x:c>
      <x:c r="O50" t="n">
        <x:v>7</x:v>
      </x:c>
      <x:c r="P50" t="n">
        <x:v>9</x:v>
      </x:c>
      <x:c r="Q50" s="18" t="n">
        <x:v>9310000</x:v>
      </x:c>
      <x:c r="R50" s="18" t="n">
        <x:f>IFERROR(Q50/N50,"")</x:f>
        <x:v>77648.04003336113</x:v>
      </x:c>
      <x:c r="S50" t="n">
        <x:v>2027</x:v>
      </x:c>
      <x:c r="T50" t="n">
        <x:v>0</x:v>
      </x:c>
      <x:c r="U50" t="str">
        <x:v>New</x:v>
      </x:c>
      <x:c r="V50" s="16" t="n">
        <x:v>11.3</x:v>
      </x:c>
      <x:c r="W50" t="str">
        <x:v>South-West</x:v>
      </x:c>
      <x:c r="X50" t="n">
        <x:v>1</x:v>
      </x:c>
      <x:c r="Y50" s="16" t="n">
        <x:v>6.8</x:v>
      </x:c>
      <x:c r="Z50" s="1" t="b">
        <x:v>1</x:v>
      </x:c>
      <x:c r="AA50" t="str">
        <x:v>South-West, East</x:v>
      </x:c>
      <x:c r="AB50" s="16" t="n">
        <x:v>0</x:v>
      </x:c>
      <x:c r="AC50" s="16" t="n">
        <x:v>0</x:v>
      </x:c>
      <x:c r="AD50" s="1" t="b">
        <x:v>0</x:v>
      </x:c>
    </x:row>
    <x:row r="51">
      <x:c r="A51" t="str">
        <x:v>SYN-0050</x:v>
      </x:c>
      <x:c r="B51" s="12" t="n">
        <x:v>46241</x:v>
      </x:c>
      <x:c r="C51" t="str">
        <x:v>Synthetic Yad2-like Listing</x:v>
      </x:c>
      <x:c r="D51" t="str">
        <x:v>https://example.com/listings/SYN-0050</x:v>
      </x:c>
      <x:c r="E51" t="str">
        <x:v>Second Hand</x:v>
      </x:c>
      <x:c r="F51" t="str"/>
      <x:c r="G51" t="str"/>
      <x:c r="H51" t="str">
        <x:v>Jabotinsky 33, Tel Aviv</x:v>
      </x:c>
      <x:c r="I51" t="str">
        <x:v>Tel Aviv</x:v>
      </x:c>
      <x:c r="J51" t="str">
        <x:v>Kikar HaMedina / New North</x:v>
      </x:c>
      <x:c r="K51" s="14" t="n">
        <x:v>0.42</x:v>
      </x:c>
      <x:c r="L51" t="str">
        <x:v>Apartment</x:v>
      </x:c>
      <x:c r="M51" t="n">
        <x:v>2</x:v>
      </x:c>
      <x:c r="N51" s="16" t="n">
        <x:v>55.6</x:v>
      </x:c>
      <x:c r="O51" t="n">
        <x:v>8</x:v>
      </x:c>
      <x:c r="P51" t="n">
        <x:v>14</x:v>
      </x:c>
      <x:c r="Q51" s="18" t="n">
        <x:v>4350000</x:v>
      </x:c>
      <x:c r="R51" s="18" t="n">
        <x:f>IFERROR(Q51/N51,"")</x:f>
        <x:v>78237.41007194245</x:v>
      </x:c>
      <x:c r="S51" t="n">
        <x:v>1963</x:v>
      </x:c>
      <x:c r="T51" t="n">
        <x:v>63</x:v>
      </x:c>
      <x:c r="U51" t="str">
        <x:v>Good</x:v>
      </x:c>
      <x:c r="V51" s="16" t="n">
        <x:v>23.5</x:v>
      </x:c>
      <x:c r="W51" t="str">
        <x:v>South-West</x:v>
      </x:c>
      <x:c r="X51" t="n">
        <x:v>1</x:v>
      </x:c>
      <x:c r="Y51" s="16" t="n">
        <x:v>7.5</x:v>
      </x:c>
      <x:c r="Z51" s="1" t="b">
        <x:v>0</x:v>
      </x:c>
      <x:c r="AA51" t="str">
        <x:v>South-West, West</x:v>
      </x:c>
      <x:c r="AB51" s="16" t="n">
        <x:v>0</x:v>
      </x:c>
      <x:c r="AC51" s="16" t="n">
        <x:v>0</x:v>
      </x:c>
      <x:c r="AD51" s="1" t="b">
        <x:v>0</x:v>
      </x:c>
    </x:row>
    <x:row r="52">
      <x:c r="A52" t="str">
        <x:v>SYN-0051</x:v>
      </x:c>
      <x:c r="B52" s="12" t="n">
        <x:v>46211</x:v>
      </x:c>
      <x:c r="C52" t="str">
        <x:v>Synthetic New-Project Listing</x:v>
      </x:c>
      <x:c r="D52" t="str">
        <x:v>https://example.com/listings/SYN-0051</x:v>
      </x:c>
      <x:c r="E52" t="str">
        <x:v>New Project</x:v>
      </x:c>
      <x:c r="F52" t="str">
        <x:v>Kikar Residence</x:v>
      </x:c>
      <x:c r="G52" t="str">
        <x:v>Sample Development A</x:v>
      </x:c>
      <x:c r="H52" t="str">
        <x:v>Pinkas 61, Tel Aviv</x:v>
      </x:c>
      <x:c r="I52" t="str">
        <x:v>Tel Aviv</x:v>
      </x:c>
      <x:c r="J52" t="str">
        <x:v>Kikar HaMedina / New North</x:v>
      </x:c>
      <x:c r="K52" s="14" t="n">
        <x:v>0.59</x:v>
      </x:c>
      <x:c r="L52" t="str">
        <x:v>Apartment</x:v>
      </x:c>
      <x:c r="M52" t="n">
        <x:v>5</x:v>
      </x:c>
      <x:c r="N52" s="16" t="n">
        <x:v>120.5</x:v>
      </x:c>
      <x:c r="O52" t="n">
        <x:v>2</x:v>
      </x:c>
      <x:c r="P52" t="n">
        <x:v>16</x:v>
      </x:c>
      <x:c r="Q52" s="18" t="n">
        <x:v>9240000</x:v>
      </x:c>
      <x:c r="R52" s="18" t="n">
        <x:f>IFERROR(Q52/N52,"")</x:f>
        <x:v>76680.49792531121</x:v>
      </x:c>
      <x:c r="S52" t="n">
        <x:v>2025</x:v>
      </x:c>
      <x:c r="T52" t="n">
        <x:v>1</x:v>
      </x:c>
      <x:c r="U52" t="str">
        <x:v>New</x:v>
      </x:c>
      <x:c r="V52" s="16" t="n">
        <x:v>28.6</x:v>
      </x:c>
      <x:c r="W52" t="str">
        <x:v>East</x:v>
      </x:c>
      <x:c r="X52" t="n">
        <x:v>0</x:v>
      </x:c>
      <x:c r="Y52" s="16" t="n">
        <x:v>0</x:v>
      </x:c>
      <x:c r="Z52" s="1" t="b">
        <x:v>1</x:v>
      </x:c>
      <x:c r="AA52" t="str">
        <x:v>East</x:v>
      </x:c>
      <x:c r="AB52" s="16" t="n">
        <x:v>0</x:v>
      </x:c>
      <x:c r="AC52" s="16" t="n">
        <x:v>0</x:v>
      </x:c>
      <x:c r="AD52" s="1" t="b">
        <x:v>0</x:v>
      </x:c>
    </x:row>
    <x:row r="53">
      <x:c r="A53" t="str">
        <x:v>SYN-0052</x:v>
      </x:c>
      <x:c r="B53" s="12" t="n">
        <x:v>46249</x:v>
      </x:c>
      <x:c r="C53" t="str">
        <x:v>Synthetic Yad2-like Listing</x:v>
      </x:c>
      <x:c r="D53" t="str">
        <x:v>https://example.com/listings/SYN-0052</x:v>
      </x:c>
      <x:c r="E53" t="str">
        <x:v>Second Hand</x:v>
      </x:c>
      <x:c r="F53" t="str"/>
      <x:c r="G53" t="str"/>
      <x:c r="H53" t="str">
        <x:v>Helsinki 16, Tel Aviv</x:v>
      </x:c>
      <x:c r="I53" t="str">
        <x:v>Tel Aviv</x:v>
      </x:c>
      <x:c r="J53" t="str">
        <x:v>Kikar HaMedina / New North</x:v>
      </x:c>
      <x:c r="K53" s="14" t="n">
        <x:v>0.11</x:v>
      </x:c>
      <x:c r="L53" t="str">
        <x:v>Apartment</x:v>
      </x:c>
      <x:c r="M53" t="n">
        <x:v>4</x:v>
      </x:c>
      <x:c r="N53" s="16" t="n">
        <x:v>103.6</x:v>
      </x:c>
      <x:c r="O53" t="n">
        <x:v>8</x:v>
      </x:c>
      <x:c r="P53" t="n">
        <x:v>18</x:v>
      </x:c>
      <x:c r="Q53" s="18" t="n">
        <x:v>6850000</x:v>
      </x:c>
      <x:c r="R53" s="18" t="n">
        <x:f>IFERROR(Q53/N53,"")</x:f>
        <x:v>66119.69111969112</x:v>
      </x:c>
      <x:c r="S53" t="n">
        <x:v>1979</x:v>
      </x:c>
      <x:c r="T53" t="n">
        <x:v>47</x:v>
      </x:c>
      <x:c r="U53" t="str">
        <x:v>Good</x:v>
      </x:c>
      <x:c r="V53" s="16" t="n">
        <x:v>23.1</x:v>
      </x:c>
      <x:c r="W53" t="str">
        <x:v>North</x:v>
      </x:c>
      <x:c r="X53" t="n">
        <x:v>0</x:v>
      </x:c>
      <x:c r="Y53" s="16" t="n">
        <x:v>0</x:v>
      </x:c>
      <x:c r="Z53" s="1" t="b">
        <x:v>1</x:v>
      </x:c>
      <x:c r="AA53" t="str">
        <x:v>North, North</x:v>
      </x:c>
      <x:c r="AB53" s="16" t="n">
        <x:v>0</x:v>
      </x:c>
      <x:c r="AC53" s="16" t="n">
        <x:v>0</x:v>
      </x:c>
      <x:c r="AD53" s="1" t="b">
        <x:v>0</x:v>
      </x:c>
    </x:row>
    <x:row r="54">
      <x:c r="A54" t="str">
        <x:v>SYN-0053</x:v>
      </x:c>
      <x:c r="B54" s="12" t="n">
        <x:v>46232</x:v>
      </x:c>
      <x:c r="C54" t="str">
        <x:v>Synthetic Yad2-like Listing</x:v>
      </x:c>
      <x:c r="D54" t="str">
        <x:v>https://example.com/listings/SYN-0053</x:v>
      </x:c>
      <x:c r="E54" t="str">
        <x:v>Second Hand</x:v>
      </x:c>
      <x:c r="F54" t="str"/>
      <x:c r="G54" t="str"/>
      <x:c r="H54" t="str">
        <x:v>Weizmann 168, Tel Aviv</x:v>
      </x:c>
      <x:c r="I54" t="str">
        <x:v>Tel Aviv</x:v>
      </x:c>
      <x:c r="J54" t="str">
        <x:v>Kikar HaMedina / New North</x:v>
      </x:c>
      <x:c r="K54" s="14" t="n">
        <x:v>0.26</x:v>
      </x:c>
      <x:c r="L54" t="str">
        <x:v>Apartment</x:v>
      </x:c>
      <x:c r="M54" t="n">
        <x:v>2</x:v>
      </x:c>
      <x:c r="N54" s="16" t="n">
        <x:v>47.1</x:v>
      </x:c>
      <x:c r="O54" t="n">
        <x:v>9</x:v>
      </x:c>
      <x:c r="P54" t="n">
        <x:v>12</x:v>
      </x:c>
      <x:c r="Q54" s="18" t="n">
        <x:v>3690000</x:v>
      </x:c>
      <x:c r="R54" s="18" t="n">
        <x:f>IFERROR(Q54/N54,"")</x:f>
        <x:v>78343.94904458598</x:v>
      </x:c>
      <x:c r="S54" t="n">
        <x:v>1992</x:v>
      </x:c>
      <x:c r="T54" t="n">
        <x:v>34</x:v>
      </x:c>
      <x:c r="U54" t="str">
        <x:v>Good</x:v>
      </x:c>
      <x:c r="V54" s="16" t="n">
        <x:v>18.1</x:v>
      </x:c>
      <x:c r="W54" t="str">
        <x:v>North-West</x:v>
      </x:c>
      <x:c r="X54" t="n">
        <x:v>1</x:v>
      </x:c>
      <x:c r="Y54" s="16" t="n">
        <x:v>0</x:v>
      </x:c>
      <x:c r="Z54" s="1" t="b">
        <x:v>1</x:v>
      </x:c>
      <x:c r="AA54" t="str">
        <x:v>North-West</x:v>
      </x:c>
      <x:c r="AB54" s="16" t="n">
        <x:v>0</x:v>
      </x:c>
      <x:c r="AC54" s="16" t="n">
        <x:v>0</x:v>
      </x:c>
      <x:c r="AD54" s="1" t="b">
        <x:v>0</x:v>
      </x:c>
    </x:row>
    <x:row r="55">
      <x:c r="A55" t="str">
        <x:v>SYN-0054</x:v>
      </x:c>
      <x:c r="B55" s="12" t="n">
        <x:v>46239</x:v>
      </x:c>
      <x:c r="C55" t="str">
        <x:v>Synthetic Yad2-like Listing</x:v>
      </x:c>
      <x:c r="D55" t="str">
        <x:v>https://example.com/listings/SYN-0054</x:v>
      </x:c>
      <x:c r="E55" t="str">
        <x:v>Second Hand</x:v>
      </x:c>
      <x:c r="F55" t="str"/>
      <x:c r="G55" t="str"/>
      <x:c r="H55" t="str">
        <x:v>Biltmore 25, Tel Aviv</x:v>
      </x:c>
      <x:c r="I55" t="str">
        <x:v>Tel Aviv</x:v>
      </x:c>
      <x:c r="J55" t="str">
        <x:v>Kikar HaMedina / New North</x:v>
      </x:c>
      <x:c r="K55" s="14" t="n">
        <x:v>0.86</x:v>
      </x:c>
      <x:c r="L55" t="str">
        <x:v>Apartment</x:v>
      </x:c>
      <x:c r="M55" t="n">
        <x:v>3</x:v>
      </x:c>
      <x:c r="N55" s="16" t="n">
        <x:v>84</x:v>
      </x:c>
      <x:c r="O55" t="n">
        <x:v>6</x:v>
      </x:c>
      <x:c r="P55" t="n">
        <x:v>13</x:v>
      </x:c>
      <x:c r="Q55" s="18" t="n">
        <x:v>6220000</x:v>
      </x:c>
      <x:c r="R55" s="18" t="n">
        <x:f>IFERROR(Q55/N55,"")</x:f>
        <x:v>74047.61904761905</x:v>
      </x:c>
      <x:c r="S55" t="n">
        <x:v>2013</x:v>
      </x:c>
      <x:c r="T55" t="n">
        <x:v>13</x:v>
      </x:c>
      <x:c r="U55" t="str">
        <x:v>Renovated</x:v>
      </x:c>
      <x:c r="V55" s="16" t="n">
        <x:v>13</x:v>
      </x:c>
      <x:c r="W55" t="str">
        <x:v>North-East</x:v>
      </x:c>
      <x:c r="X55" t="n">
        <x:v>1</x:v>
      </x:c>
      <x:c r="Y55" s="16" t="n">
        <x:v>9.5</x:v>
      </x:c>
      <x:c r="Z55" s="1" t="b">
        <x:v>1</x:v>
      </x:c>
      <x:c r="AA55" t="str">
        <x:v>North-East, North</x:v>
      </x:c>
      <x:c r="AB55" s="16" t="n">
        <x:v>0</x:v>
      </x:c>
      <x:c r="AC55" s="16" t="n">
        <x:v>0</x:v>
      </x:c>
      <x:c r="AD55" s="1" t="b">
        <x:v>0</x:v>
      </x:c>
    </x:row>
    <x:row r="56">
      <x:c r="A56" t="str">
        <x:v>SYN-0055</x:v>
      </x:c>
      <x:c r="B56" s="12" t="n">
        <x:v>46218</x:v>
      </x:c>
      <x:c r="C56" t="str">
        <x:v>Synthetic Yad2-like Listing</x:v>
      </x:c>
      <x:c r="D56" t="str">
        <x:v>https://example.com/listings/SYN-0055</x:v>
      </x:c>
      <x:c r="E56" t="str">
        <x:v>Second Hand</x:v>
      </x:c>
      <x:c r="F56" t="str"/>
      <x:c r="G56" t="str"/>
      <x:c r="H56" t="str">
        <x:v>Pinkas 28, Tel Aviv</x:v>
      </x:c>
      <x:c r="I56" t="str">
        <x:v>Tel Aviv</x:v>
      </x:c>
      <x:c r="J56" t="str">
        <x:v>Kikar HaMedina / New North</x:v>
      </x:c>
      <x:c r="K56" s="14" t="n">
        <x:v>0.42</x:v>
      </x:c>
      <x:c r="L56" t="str">
        <x:v>Apartment</x:v>
      </x:c>
      <x:c r="M56" t="n">
        <x:v>4</x:v>
      </x:c>
      <x:c r="N56" s="16" t="n">
        <x:v>96.2</x:v>
      </x:c>
      <x:c r="O56" t="n">
        <x:v>10</x:v>
      </x:c>
      <x:c r="P56" t="n">
        <x:v>17</x:v>
      </x:c>
      <x:c r="Q56" s="18" t="n">
        <x:v>6070000</x:v>
      </x:c>
      <x:c r="R56" s="18" t="n">
        <x:f>IFERROR(Q56/N56,"")</x:f>
        <x:v>63097.713097713095</x:v>
      </x:c>
      <x:c r="S56" t="n">
        <x:v>1996</x:v>
      </x:c>
      <x:c r="T56" t="n">
        <x:v>30</x:v>
      </x:c>
      <x:c r="U56" t="str">
        <x:v>Good</x:v>
      </x:c>
      <x:c r="V56" s="16" t="n">
        <x:v>0</x:v>
      </x:c>
      <x:c r="W56" t="str"/>
      <x:c r="X56" t="n">
        <x:v>0</x:v>
      </x:c>
      <x:c r="Y56" s="16" t="n">
        <x:v>0</x:v>
      </x:c>
      <x:c r="Z56" s="1" t="b">
        <x:v>1</x:v>
      </x:c>
      <x:c r="AA56" t="str">
        <x:v>South-East</x:v>
      </x:c>
      <x:c r="AB56" s="16" t="n">
        <x:v>0</x:v>
      </x:c>
      <x:c r="AC56" s="16" t="n">
        <x:v>0</x:v>
      </x:c>
      <x:c r="AD56" s="1" t="b">
        <x:v>0</x:v>
      </x:c>
    </x:row>
    <x:row r="57">
      <x:c r="A57" t="str">
        <x:v>SYN-0056</x:v>
      </x:c>
      <x:c r="B57" s="12" t="n">
        <x:v>46205</x:v>
      </x:c>
      <x:c r="C57" t="str">
        <x:v>Synthetic Yad2-like Listing</x:v>
      </x:c>
      <x:c r="D57" t="str">
        <x:v>https://example.com/listings/SYN-0056</x:v>
      </x:c>
      <x:c r="E57" t="str">
        <x:v>Second Hand</x:v>
      </x:c>
      <x:c r="F57" t="str"/>
      <x:c r="G57" t="str"/>
      <x:c r="H57" t="str">
        <x:v>Pinkas 37, Tel Aviv</x:v>
      </x:c>
      <x:c r="I57" t="str">
        <x:v>Tel Aviv</x:v>
      </x:c>
      <x:c r="J57" t="str">
        <x:v>Kikar HaMedina / New North</x:v>
      </x:c>
      <x:c r="K57" s="14" t="n">
        <x:v>0.4</x:v>
      </x:c>
      <x:c r="L57" t="str">
        <x:v>Duplex</x:v>
      </x:c>
      <x:c r="M57" t="n">
        <x:v>5</x:v>
      </x:c>
      <x:c r="N57" s="16" t="n">
        <x:v>137.3</x:v>
      </x:c>
      <x:c r="O57" t="n">
        <x:v>9</x:v>
      </x:c>
      <x:c r="P57" t="n">
        <x:v>18</x:v>
      </x:c>
      <x:c r="Q57" s="18" t="n">
        <x:v>9740000</x:v>
      </x:c>
      <x:c r="R57" s="18" t="n">
        <x:f>IFERROR(Q57/N57,"")</x:f>
        <x:v>70939.54843408594</x:v>
      </x:c>
      <x:c r="S57" t="n">
        <x:v>1981</x:v>
      </x:c>
      <x:c r="T57" t="n">
        <x:v>45</x:v>
      </x:c>
      <x:c r="U57" t="str">
        <x:v>Good</x:v>
      </x:c>
      <x:c r="V57" s="16" t="n">
        <x:v>0</x:v>
      </x:c>
      <x:c r="W57" t="str"/>
      <x:c r="X57" t="n">
        <x:v>2</x:v>
      </x:c>
      <x:c r="Y57" s="16" t="n">
        <x:v>7.9</x:v>
      </x:c>
      <x:c r="Z57" s="1" t="b">
        <x:v>1</x:v>
      </x:c>
      <x:c r="AA57" t="str">
        <x:v>South</x:v>
      </x:c>
      <x:c r="AB57" s="16" t="n">
        <x:v>0</x:v>
      </x:c>
      <x:c r="AC57" s="16" t="n">
        <x:v>0</x:v>
      </x:c>
      <x:c r="AD57" s="1" t="b">
        <x:v>0</x:v>
      </x:c>
    </x:row>
    <x:row r="58">
      <x:c r="A58" t="str">
        <x:v>SYN-0057</x:v>
      </x:c>
      <x:c r="B58" s="12" t="n">
        <x:v>46222</x:v>
      </x:c>
      <x:c r="C58" t="str">
        <x:v>Synthetic New-Project Listing</x:v>
      </x:c>
      <x:c r="D58" t="str">
        <x:v>https://example.com/listings/SYN-0057</x:v>
      </x:c>
      <x:c r="E58" t="str">
        <x:v>New Project</x:v>
      </x:c>
      <x:c r="F58" t="str">
        <x:v>Kikar Residence</x:v>
      </x:c>
      <x:c r="G58" t="str">
        <x:v>Sample Development A</x:v>
      </x:c>
      <x:c r="H58" t="str">
        <x:v>Bavli 156, Tel Aviv</x:v>
      </x:c>
      <x:c r="I58" t="str">
        <x:v>Tel Aviv</x:v>
      </x:c>
      <x:c r="J58" t="str">
        <x:v>Kikar HaMedina / New North</x:v>
      </x:c>
      <x:c r="K58" s="14" t="n">
        <x:v>0.67</x:v>
      </x:c>
      <x:c r="L58" t="str">
        <x:v>Apartment</x:v>
      </x:c>
      <x:c r="M58" t="n">
        <x:v>4</x:v>
      </x:c>
      <x:c r="N58" s="16" t="n">
        <x:v>95.5</x:v>
      </x:c>
      <x:c r="O58" t="n">
        <x:v>7</x:v>
      </x:c>
      <x:c r="P58" t="n">
        <x:v>13</x:v>
      </x:c>
      <x:c r="Q58" s="18" t="n">
        <x:v>7650000</x:v>
      </x:c>
      <x:c r="R58" s="18" t="n">
        <x:f>IFERROR(Q58/N58,"")</x:f>
        <x:v>80104.71204188482</x:v>
      </x:c>
      <x:c r="S58" t="n">
        <x:v>2025</x:v>
      </x:c>
      <x:c r="T58" t="n">
        <x:v>1</x:v>
      </x:c>
      <x:c r="U58" t="str">
        <x:v>New</x:v>
      </x:c>
      <x:c r="V58" s="16" t="n">
        <x:v>13.2</x:v>
      </x:c>
      <x:c r="W58" t="str">
        <x:v>South</x:v>
      </x:c>
      <x:c r="X58" t="n">
        <x:v>1</x:v>
      </x:c>
      <x:c r="Y58" s="16" t="n">
        <x:v>8.3</x:v>
      </x:c>
      <x:c r="Z58" s="1" t="b">
        <x:v>1</x:v>
      </x:c>
      <x:c r="AA58" t="str">
        <x:v>South</x:v>
      </x:c>
      <x:c r="AB58" s="16" t="n">
        <x:v>0</x:v>
      </x:c>
      <x:c r="AC58" s="16" t="n">
        <x:v>0</x:v>
      </x:c>
      <x:c r="AD58" s="1" t="b">
        <x:v>0</x:v>
      </x:c>
    </x:row>
    <x:row r="59">
      <x:c r="A59" t="str">
        <x:v>SYN-0058</x:v>
      </x:c>
      <x:c r="B59" s="12" t="n">
        <x:v>46249</x:v>
      </x:c>
      <x:c r="C59" t="str">
        <x:v>Synthetic Yad2-like Listing</x:v>
      </x:c>
      <x:c r="D59" t="str">
        <x:v>https://example.com/listings/SYN-0058</x:v>
      </x:c>
      <x:c r="E59" t="str">
        <x:v>Second Hand</x:v>
      </x:c>
      <x:c r="F59" t="str"/>
      <x:c r="G59" t="str"/>
      <x:c r="H59" t="str">
        <x:v>Mosenzon 31, Tel Aviv</x:v>
      </x:c>
      <x:c r="I59" t="str">
        <x:v>Tel Aviv</x:v>
      </x:c>
      <x:c r="J59" t="str">
        <x:v>Kikar HaMedina / New North</x:v>
      </x:c>
      <x:c r="K59" s="14" t="n">
        <x:v>0.83</x:v>
      </x:c>
      <x:c r="L59" t="str">
        <x:v>Apartment</x:v>
      </x:c>
      <x:c r="M59" t="n">
        <x:v>4</x:v>
      </x:c>
      <x:c r="N59" s="16" t="n">
        <x:v>98.5</x:v>
      </x:c>
      <x:c r="O59" t="n">
        <x:v>4</x:v>
      </x:c>
      <x:c r="P59" t="n">
        <x:v>5</x:v>
      </x:c>
      <x:c r="Q59" s="18" t="n">
        <x:v>6990000</x:v>
      </x:c>
      <x:c r="R59" s="18" t="n">
        <x:f>IFERROR(Q59/N59,"")</x:f>
        <x:v>70964.46700507615</x:v>
      </x:c>
      <x:c r="S59" t="n">
        <x:v>2008</x:v>
      </x:c>
      <x:c r="T59" t="n">
        <x:v>18</x:v>
      </x:c>
      <x:c r="U59" t="str">
        <x:v>Renovated</x:v>
      </x:c>
      <x:c r="V59" s="16" t="n">
        <x:v>0</x:v>
      </x:c>
      <x:c r="W59" t="str"/>
      <x:c r="X59" t="n">
        <x:v>1</x:v>
      </x:c>
      <x:c r="Y59" s="16" t="n">
        <x:v>9.6</x:v>
      </x:c>
      <x:c r="Z59" s="1" t="b">
        <x:v>1</x:v>
      </x:c>
      <x:c r="AA59" t="str">
        <x:v>North-West</x:v>
      </x:c>
      <x:c r="AB59" s="16" t="n">
        <x:v>0</x:v>
      </x:c>
      <x:c r="AC59" s="16" t="n">
        <x:v>0</x:v>
      </x:c>
      <x:c r="AD59" s="1" t="b">
        <x:v>1</x:v>
      </x:c>
    </x:row>
    <x:row r="60">
      <x:c r="A60" t="str">
        <x:v>SYN-0059</x:v>
      </x:c>
      <x:c r="B60" s="12" t="n">
        <x:v>46248</x:v>
      </x:c>
      <x:c r="C60" t="str">
        <x:v>Synthetic New-Project Listing</x:v>
      </x:c>
      <x:c r="D60" t="str">
        <x:v>https://example.com/listings/SYN-0059</x:v>
      </x:c>
      <x:c r="E60" t="str">
        <x:v>New Project</x:v>
      </x:c>
      <x:c r="F60" t="str">
        <x:v>North TLV Living</x:v>
      </x:c>
      <x:c r="G60" t="str">
        <x:v>Sample Development D</x:v>
      </x:c>
      <x:c r="H60" t="str">
        <x:v>Epstein 75, Tel Aviv</x:v>
      </x:c>
      <x:c r="I60" t="str">
        <x:v>Tel Aviv</x:v>
      </x:c>
      <x:c r="J60" t="str">
        <x:v>Kikar HaMedina / New North</x:v>
      </x:c>
      <x:c r="K60" s="14" t="n">
        <x:v>0.76</x:v>
      </x:c>
      <x:c r="L60" t="str">
        <x:v>Apartment</x:v>
      </x:c>
      <x:c r="M60" t="n">
        <x:v>4</x:v>
      </x:c>
      <x:c r="N60" s="16" t="n">
        <x:v>101.4</x:v>
      </x:c>
      <x:c r="O60" t="n">
        <x:v>5</x:v>
      </x:c>
      <x:c r="P60" t="n">
        <x:v>7</x:v>
      </x:c>
      <x:c r="Q60" s="18" t="n">
        <x:v>7830000</x:v>
      </x:c>
      <x:c r="R60" s="18" t="n">
        <x:f>IFERROR(Q60/N60,"")</x:f>
        <x:v>77218.9349112426</x:v>
      </x:c>
      <x:c r="S60" t="n">
        <x:v>2027</x:v>
      </x:c>
      <x:c r="T60" t="n">
        <x:v>0</x:v>
      </x:c>
      <x:c r="U60" t="str">
        <x:v>New</x:v>
      </x:c>
      <x:c r="V60" s="16" t="n">
        <x:v>15</x:v>
      </x:c>
      <x:c r="W60" t="str">
        <x:v>South-West</x:v>
      </x:c>
      <x:c r="X60" t="n">
        <x:v>1</x:v>
      </x:c>
      <x:c r="Y60" s="16" t="n">
        <x:v>0</x:v>
      </x:c>
      <x:c r="Z60" s="1" t="b">
        <x:v>1</x:v>
      </x:c>
      <x:c r="AA60" t="str">
        <x:v>South-West</x:v>
      </x:c>
      <x:c r="AB60" s="16" t="n">
        <x:v>0</x:v>
      </x:c>
      <x:c r="AC60" s="16" t="n">
        <x:v>0</x:v>
      </x:c>
      <x:c r="AD60" s="1" t="b">
        <x:v>0</x:v>
      </x:c>
    </x:row>
    <x:row r="61">
      <x:c r="A61" t="str">
        <x:v>SYN-0060</x:v>
      </x:c>
      <x:c r="B61" s="12" t="n">
        <x:v>46256</x:v>
      </x:c>
      <x:c r="C61" t="str">
        <x:v>Synthetic Yad2-like Listing</x:v>
      </x:c>
      <x:c r="D61" t="str">
        <x:v>https://example.com/listings/SYN-0060</x:v>
      </x:c>
      <x:c r="E61" t="str">
        <x:v>Second Hand</x:v>
      </x:c>
      <x:c r="F61" t="str"/>
      <x:c r="G61" t="str"/>
      <x:c r="H61" t="str">
        <x:v>Klay 50, Tel Aviv</x:v>
      </x:c>
      <x:c r="I61" t="str">
        <x:v>Tel Aviv</x:v>
      </x:c>
      <x:c r="J61" t="str">
        <x:v>Kikar HaMedina / New North</x:v>
      </x:c>
      <x:c r="K61" s="14" t="n">
        <x:v>0.66</x:v>
      </x:c>
      <x:c r="L61" t="str">
        <x:v>Apartment</x:v>
      </x:c>
      <x:c r="M61" t="n">
        <x:v>2</x:v>
      </x:c>
      <x:c r="N61" s="16" t="n">
        <x:v>57.8</x:v>
      </x:c>
      <x:c r="O61" t="n">
        <x:v>3</x:v>
      </x:c>
      <x:c r="P61" t="n">
        <x:v>10</x:v>
      </x:c>
      <x:c r="Q61" s="18" t="n">
        <x:v>4430000</x:v>
      </x:c>
      <x:c r="R61" s="18" t="n">
        <x:f>IFERROR(Q61/N61,"")</x:f>
        <x:v>76643.59861591696</x:v>
      </x:c>
      <x:c r="S61" t="n">
        <x:v>2000</x:v>
      </x:c>
      <x:c r="T61" t="n">
        <x:v>26</x:v>
      </x:c>
      <x:c r="U61" t="str">
        <x:v>Renovated</x:v>
      </x:c>
      <x:c r="V61" s="16" t="n">
        <x:v>14.3</x:v>
      </x:c>
      <x:c r="W61" t="str">
        <x:v>North-East</x:v>
      </x:c>
      <x:c r="X61" t="n">
        <x:v>0</x:v>
      </x:c>
      <x:c r="Y61" s="16" t="n">
        <x:v>8.5</x:v>
      </x:c>
      <x:c r="Z61" s="1" t="b">
        <x:v>1</x:v>
      </x:c>
      <x:c r="AA61" t="str">
        <x:v>North-East, East</x:v>
      </x:c>
      <x:c r="AB61" s="16" t="n">
        <x:v>0</x:v>
      </x:c>
      <x:c r="AC61" s="16" t="n">
        <x:v>0</x:v>
      </x:c>
      <x:c r="AD61" s="1" t="b">
        <x:v>0</x:v>
      </x:c>
    </x:row>
    <x:row r="62">
      <x:c r="A62" t="str">
        <x:v>SYN-0061</x:v>
      </x:c>
      <x:c r="B62" s="12" t="n">
        <x:v>46207</x:v>
      </x:c>
      <x:c r="C62" t="str">
        <x:v>Synthetic New-Project Listing</x:v>
      </x:c>
      <x:c r="D62" t="str">
        <x:v>https://example.com/listings/SYN-0061</x:v>
      </x:c>
      <x:c r="E62" t="str">
        <x:v>New Project</x:v>
      </x:c>
      <x:c r="F62" t="str">
        <x:v>Medina Boutique</x:v>
      </x:c>
      <x:c r="G62" t="str">
        <x:v>Sample Development E</x:v>
      </x:c>
      <x:c r="H62" t="str">
        <x:v>Epstein 81, Tel Aviv</x:v>
      </x:c>
      <x:c r="I62" t="str">
        <x:v>Tel Aviv</x:v>
      </x:c>
      <x:c r="J62" t="str">
        <x:v>Kikar HaMedina / New North</x:v>
      </x:c>
      <x:c r="K62" s="14" t="n">
        <x:v>0.76</x:v>
      </x:c>
      <x:c r="L62" t="str">
        <x:v>Apartment</x:v>
      </x:c>
      <x:c r="M62" t="n">
        <x:v>2</x:v>
      </x:c>
      <x:c r="N62" s="16" t="n">
        <x:v>49.6</x:v>
      </x:c>
      <x:c r="O62" t="n">
        <x:v>2</x:v>
      </x:c>
      <x:c r="P62" t="n">
        <x:v>13</x:v>
      </x:c>
      <x:c r="Q62" s="18" t="n">
        <x:v>3990000</x:v>
      </x:c>
      <x:c r="R62" s="18" t="n">
        <x:f>IFERROR(Q62/N62,"")</x:f>
        <x:v>80443.54838709677</x:v>
      </x:c>
      <x:c r="S62" t="n">
        <x:v>2027</x:v>
      </x:c>
      <x:c r="T62" t="n">
        <x:v>0</x:v>
      </x:c>
      <x:c r="U62" t="str">
        <x:v>New</x:v>
      </x:c>
      <x:c r="V62" s="16" t="n">
        <x:v>9.2</x:v>
      </x:c>
      <x:c r="W62" t="str">
        <x:v>South-West</x:v>
      </x:c>
      <x:c r="X62" t="n">
        <x:v>1</x:v>
      </x:c>
      <x:c r="Y62" s="16" t="n">
        <x:v>7.1</x:v>
      </x:c>
      <x:c r="Z62" s="1" t="b">
        <x:v>1</x:v>
      </x:c>
      <x:c r="AA62" t="str">
        <x:v>South-West, North</x:v>
      </x:c>
      <x:c r="AB62" s="16" t="n">
        <x:v>0</x:v>
      </x:c>
      <x:c r="AC62" s="16" t="n">
        <x:v>0</x:v>
      </x:c>
      <x:c r="AD62" s="1" t="b">
        <x:v>0</x:v>
      </x:c>
    </x:row>
    <x:row r="63">
      <x:c r="A63" t="str">
        <x:v>SYN-0062</x:v>
      </x:c>
      <x:c r="B63" s="12" t="n">
        <x:v>46210</x:v>
      </x:c>
      <x:c r="C63" t="str">
        <x:v>Synthetic New-Project Listing</x:v>
      </x:c>
      <x:c r="D63" t="str">
        <x:v>https://example.com/listings/SYN-0062</x:v>
      </x:c>
      <x:c r="E63" t="str">
        <x:v>New Project</x:v>
      </x:c>
      <x:c r="F63" t="str">
        <x:v>Kikar Residence</x:v>
      </x:c>
      <x:c r="G63" t="str">
        <x:v>Sample Development A</x:v>
      </x:c>
      <x:c r="H63" t="str">
        <x:v>Lissin 147, Tel Aviv</x:v>
      </x:c>
      <x:c r="I63" t="str">
        <x:v>Tel Aviv</x:v>
      </x:c>
      <x:c r="J63" t="str">
        <x:v>Kikar HaMedina / New North</x:v>
      </x:c>
      <x:c r="K63" s="14" t="n">
        <x:v>0.84</x:v>
      </x:c>
      <x:c r="L63" t="str">
        <x:v>Apartment</x:v>
      </x:c>
      <x:c r="M63" t="n">
        <x:v>2</x:v>
      </x:c>
      <x:c r="N63" s="16" t="n">
        <x:v>52.5</x:v>
      </x:c>
      <x:c r="O63" t="n">
        <x:v>0</x:v>
      </x:c>
      <x:c r="P63" t="n">
        <x:v>4</x:v>
      </x:c>
      <x:c r="Q63" s="18" t="n">
        <x:v>4520000</x:v>
      </x:c>
      <x:c r="R63" s="18" t="n">
        <x:f>IFERROR(Q63/N63,"")</x:f>
        <x:v>86095.23809523809</x:v>
      </x:c>
      <x:c r="S63" t="n">
        <x:v>2027</x:v>
      </x:c>
      <x:c r="T63" t="n">
        <x:v>0</x:v>
      </x:c>
      <x:c r="U63" t="str">
        <x:v>New</x:v>
      </x:c>
      <x:c r="V63" s="16" t="n">
        <x:v>23.6</x:v>
      </x:c>
      <x:c r="W63" t="str">
        <x:v>South</x:v>
      </x:c>
      <x:c r="X63" t="n">
        <x:v>1</x:v>
      </x:c>
      <x:c r="Y63" s="16" t="n">
        <x:v>6.2</x:v>
      </x:c>
      <x:c r="Z63" s="1" t="b">
        <x:v>1</x:v>
      </x:c>
      <x:c r="AA63" t="str">
        <x:v>South, South</x:v>
      </x:c>
      <x:c r="AB63" s="16" t="n">
        <x:v>0</x:v>
      </x:c>
      <x:c r="AC63" s="16" t="n">
        <x:v>0</x:v>
      </x:c>
      <x:c r="AD63" s="1" t="b">
        <x:v>0</x:v>
      </x:c>
    </x:row>
    <x:row r="64">
      <x:c r="A64" t="str">
        <x:v>SYN-0063</x:v>
      </x:c>
      <x:c r="B64" s="12" t="n">
        <x:v>46250</x:v>
      </x:c>
      <x:c r="C64" t="str">
        <x:v>Synthetic Yad2-like Listing</x:v>
      </x:c>
      <x:c r="D64" t="str">
        <x:v>https://example.com/listings/SYN-0063</x:v>
      </x:c>
      <x:c r="E64" t="str">
        <x:v>Second Hand</x:v>
      </x:c>
      <x:c r="F64" t="str"/>
      <x:c r="G64" t="str"/>
      <x:c r="H64" t="str">
        <x:v>Epstein 86, Tel Aviv</x:v>
      </x:c>
      <x:c r="I64" t="str">
        <x:v>Tel Aviv</x:v>
      </x:c>
      <x:c r="J64" t="str">
        <x:v>Kikar HaMedina / New North</x:v>
      </x:c>
      <x:c r="K64" s="14" t="n">
        <x:v>0.96</x:v>
      </x:c>
      <x:c r="L64" t="str">
        <x:v>Apartment</x:v>
      </x:c>
      <x:c r="M64" t="n">
        <x:v>5</x:v>
      </x:c>
      <x:c r="N64" s="16" t="n">
        <x:v>137.5</x:v>
      </x:c>
      <x:c r="O64" t="n">
        <x:v>1</x:v>
      </x:c>
      <x:c r="P64" t="n">
        <x:v>12</x:v>
      </x:c>
      <x:c r="Q64" s="18" t="n">
        <x:v>9940000</x:v>
      </x:c>
      <x:c r="R64" s="18" t="n">
        <x:f>IFERROR(Q64/N64,"")</x:f>
        <x:v>72290.90909090909</x:v>
      </x:c>
      <x:c r="S64" t="n">
        <x:v>2009</x:v>
      </x:c>
      <x:c r="T64" t="n">
        <x:v>17</x:v>
      </x:c>
      <x:c r="U64" t="str">
        <x:v>Renovated</x:v>
      </x:c>
      <x:c r="V64" s="16" t="n">
        <x:v>25</x:v>
      </x:c>
      <x:c r="W64" t="str">
        <x:v>South-West</x:v>
      </x:c>
      <x:c r="X64" t="n">
        <x:v>1</x:v>
      </x:c>
      <x:c r="Y64" s="16" t="n">
        <x:v>9.4</x:v>
      </x:c>
      <x:c r="Z64" s="1" t="b">
        <x:v>1</x:v>
      </x:c>
      <x:c r="AA64" t="str">
        <x:v>South-West</x:v>
      </x:c>
      <x:c r="AB64" s="16" t="n">
        <x:v>0</x:v>
      </x:c>
      <x:c r="AC64" s="16" t="n">
        <x:v>0</x:v>
      </x:c>
      <x:c r="AD64" s="1" t="b">
        <x:v>0</x:v>
      </x:c>
    </x:row>
    <x:row r="65">
      <x:c r="A65" t="str">
        <x:v>SYN-0064</x:v>
      </x:c>
      <x:c r="B65" s="12" t="n">
        <x:v>46237</x:v>
      </x:c>
      <x:c r="C65" t="str">
        <x:v>Synthetic Yad2-like Listing</x:v>
      </x:c>
      <x:c r="D65" t="str">
        <x:v>https://example.com/listings/SYN-0064</x:v>
      </x:c>
      <x:c r="E65" t="str">
        <x:v>Second Hand</x:v>
      </x:c>
      <x:c r="F65" t="str"/>
      <x:c r="G65" t="str"/>
      <x:c r="H65" t="str">
        <x:v>Mosenzon 33, Tel Aviv</x:v>
      </x:c>
      <x:c r="I65" t="str">
        <x:v>Tel Aviv</x:v>
      </x:c>
      <x:c r="J65" t="str">
        <x:v>Kikar HaMedina / New North</x:v>
      </x:c>
      <x:c r="K65" s="14" t="n">
        <x:v>0.84</x:v>
      </x:c>
      <x:c r="L65" t="str">
        <x:v>Apartment</x:v>
      </x:c>
      <x:c r="M65" t="n">
        <x:v>5</x:v>
      </x:c>
      <x:c r="N65" s="16" t="n">
        <x:v>127.7</x:v>
      </x:c>
      <x:c r="O65" t="n">
        <x:v>2</x:v>
      </x:c>
      <x:c r="P65" t="n">
        <x:v>9</x:v>
      </x:c>
      <x:c r="Q65" s="18" t="n">
        <x:v>8700000</x:v>
      </x:c>
      <x:c r="R65" s="18" t="n">
        <x:f>IFERROR(Q65/N65,"")</x:f>
        <x:v>68128.42599843383</x:v>
      </x:c>
      <x:c r="S65" t="n">
        <x:v>1979</x:v>
      </x:c>
      <x:c r="T65" t="n">
        <x:v>47</x:v>
      </x:c>
      <x:c r="U65" t="str">
        <x:v>Good</x:v>
      </x:c>
      <x:c r="V65" s="16" t="n">
        <x:v>30</x:v>
      </x:c>
      <x:c r="W65" t="str">
        <x:v>North-East</x:v>
      </x:c>
      <x:c r="X65" t="n">
        <x:v>0</x:v>
      </x:c>
      <x:c r="Y65" s="16" t="n">
        <x:v>7.2</x:v>
      </x:c>
      <x:c r="Z65" s="1" t="b">
        <x:v>0</x:v>
      </x:c>
      <x:c r="AA65" t="str">
        <x:v>North-East, South</x:v>
      </x:c>
      <x:c r="AB65" s="16" t="n">
        <x:v>0</x:v>
      </x:c>
      <x:c r="AC65" s="16" t="n">
        <x:v>0</x:v>
      </x:c>
      <x:c r="AD65" s="1" t="b">
        <x:v>0</x:v>
      </x:c>
    </x:row>
    <x:row r="66">
      <x:c r="A66" t="str">
        <x:v>SYN-0065</x:v>
      </x:c>
      <x:c r="B66" s="12" t="n">
        <x:v>46215</x:v>
      </x:c>
      <x:c r="C66" t="str">
        <x:v>Synthetic New-Project Listing</x:v>
      </x:c>
      <x:c r="D66" t="str">
        <x:v>https://example.com/listings/SYN-0065</x:v>
      </x:c>
      <x:c r="E66" t="str">
        <x:v>New Project</x:v>
      </x:c>
      <x:c r="F66" t="str">
        <x:v>Medina Boutique</x:v>
      </x:c>
      <x:c r="G66" t="str">
        <x:v>Sample Development E</x:v>
      </x:c>
      <x:c r="H66" t="str">
        <x:v>Klay 10, Tel Aviv</x:v>
      </x:c>
      <x:c r="I66" t="str">
        <x:v>Tel Aviv</x:v>
      </x:c>
      <x:c r="J66" t="str">
        <x:v>Kikar HaMedina / New North</x:v>
      </x:c>
      <x:c r="K66" s="14" t="n">
        <x:v>0.68</x:v>
      </x:c>
      <x:c r="L66" t="str">
        <x:v>Apartment</x:v>
      </x:c>
      <x:c r="M66" t="n">
        <x:v>4</x:v>
      </x:c>
      <x:c r="N66" s="16" t="n">
        <x:v>98.2</x:v>
      </x:c>
      <x:c r="O66" t="n">
        <x:v>0</x:v>
      </x:c>
      <x:c r="P66" t="n">
        <x:v>9</x:v>
      </x:c>
      <x:c r="Q66" s="18" t="n">
        <x:v>7820000</x:v>
      </x:c>
      <x:c r="R66" s="18" t="n">
        <x:f>IFERROR(Q66/N66,"")</x:f>
        <x:v>79633.40122199593</x:v>
      </x:c>
      <x:c r="S66" t="n">
        <x:v>2025</x:v>
      </x:c>
      <x:c r="T66" t="n">
        <x:v>1</x:v>
      </x:c>
      <x:c r="U66" t="str">
        <x:v>New</x:v>
      </x:c>
      <x:c r="V66" s="16" t="n">
        <x:v>20.3</x:v>
      </x:c>
      <x:c r="W66" t="str">
        <x:v>West</x:v>
      </x:c>
      <x:c r="X66" t="n">
        <x:v>1</x:v>
      </x:c>
      <x:c r="Y66" s="16" t="n">
        <x:v>3.5</x:v>
      </x:c>
      <x:c r="Z66" s="1" t="b">
        <x:v>1</x:v>
      </x:c>
      <x:c r="AA66" t="str">
        <x:v>West, South</x:v>
      </x:c>
      <x:c r="AB66" s="16" t="n">
        <x:v>0</x:v>
      </x:c>
      <x:c r="AC66" s="16" t="n">
        <x:v>0</x:v>
      </x:c>
      <x:c r="AD66" s="1" t="b">
        <x:v>0</x:v>
      </x:c>
    </x:row>
    <x:row r="67">
      <x:c r="A67" t="str">
        <x:v>SYN-0066</x:v>
      </x:c>
      <x:c r="B67" s="12" t="n">
        <x:v>46227</x:v>
      </x:c>
      <x:c r="C67" t="str">
        <x:v>Synthetic Yad2-like Listing</x:v>
      </x:c>
      <x:c r="D67" t="str">
        <x:v>https://example.com/listings/SYN-0066</x:v>
      </x:c>
      <x:c r="E67" t="str">
        <x:v>Second Hand</x:v>
      </x:c>
      <x:c r="F67" t="str"/>
      <x:c r="G67" t="str"/>
      <x:c r="H67" t="str">
        <x:v>Klay 62, Tel Aviv</x:v>
      </x:c>
      <x:c r="I67" t="str">
        <x:v>Tel Aviv</x:v>
      </x:c>
      <x:c r="J67" t="str">
        <x:v>Kikar HaMedina / New North</x:v>
      </x:c>
      <x:c r="K67" s="14" t="n">
        <x:v>0.46</x:v>
      </x:c>
      <x:c r="L67" t="str">
        <x:v>Apartment</x:v>
      </x:c>
      <x:c r="M67" t="n">
        <x:v>4</x:v>
      </x:c>
      <x:c r="N67" s="16" t="n">
        <x:v>104.2</x:v>
      </x:c>
      <x:c r="O67" t="n">
        <x:v>2</x:v>
      </x:c>
      <x:c r="P67" t="n">
        <x:v>15</x:v>
      </x:c>
      <x:c r="Q67" s="18" t="n">
        <x:v>7280000</x:v>
      </x:c>
      <x:c r="R67" s="18" t="n">
        <x:f>IFERROR(Q67/N67,"")</x:f>
        <x:v>69865.64299424185</x:v>
      </x:c>
      <x:c r="S67" t="n">
        <x:v>2010</x:v>
      </x:c>
      <x:c r="T67" t="n">
        <x:v>16</x:v>
      </x:c>
      <x:c r="U67" t="str">
        <x:v>Good</x:v>
      </x:c>
      <x:c r="V67" s="16" t="n">
        <x:v>18.8</x:v>
      </x:c>
      <x:c r="W67" t="str">
        <x:v>West</x:v>
      </x:c>
      <x:c r="X67" t="n">
        <x:v>0</x:v>
      </x:c>
      <x:c r="Y67" s="16" t="n">
        <x:v>0</x:v>
      </x:c>
      <x:c r="Z67" s="1" t="b">
        <x:v>1</x:v>
      </x:c>
      <x:c r="AA67" t="str">
        <x:v>West, North</x:v>
      </x:c>
      <x:c r="AB67" s="16" t="n">
        <x:v>0</x:v>
      </x:c>
      <x:c r="AC67" s="16" t="n">
        <x:v>0</x:v>
      </x:c>
      <x:c r="AD67" s="1" t="b">
        <x:v>0</x:v>
      </x:c>
    </x:row>
    <x:row r="68">
      <x:c r="A68" t="str">
        <x:v>SYN-0067</x:v>
      </x:c>
      <x:c r="B68" s="12" t="n">
        <x:v>46214</x:v>
      </x:c>
      <x:c r="C68" t="str">
        <x:v>Synthetic Yad2-like Listing</x:v>
      </x:c>
      <x:c r="D68" t="str">
        <x:v>https://example.com/listings/SYN-0067</x:v>
      </x:c>
      <x:c r="E68" t="str">
        <x:v>Second Hand</x:v>
      </x:c>
      <x:c r="F68" t="str"/>
      <x:c r="G68" t="str"/>
      <x:c r="H68" t="str">
        <x:v>Lissin 27, Tel Aviv</x:v>
      </x:c>
      <x:c r="I68" t="str">
        <x:v>Tel Aviv</x:v>
      </x:c>
      <x:c r="J68" t="str">
        <x:v>Kikar HaMedina / New North</x:v>
      </x:c>
      <x:c r="K68" s="14" t="n">
        <x:v>0.72</x:v>
      </x:c>
      <x:c r="L68" t="str">
        <x:v>Apartment</x:v>
      </x:c>
      <x:c r="M68" t="n">
        <x:v>4</x:v>
      </x:c>
      <x:c r="N68" s="16" t="n">
        <x:v>96.8</x:v>
      </x:c>
      <x:c r="O68" t="n">
        <x:v>12</x:v>
      </x:c>
      <x:c r="P68" t="n">
        <x:v>15</x:v>
      </x:c>
      <x:c r="Q68" s="18" t="n">
        <x:v>6500000</x:v>
      </x:c>
      <x:c r="R68" s="18" t="n">
        <x:f>IFERROR(Q68/N68,"")</x:f>
        <x:v>67148.76033057852</x:v>
      </x:c>
      <x:c r="S68" t="n">
        <x:v>1976</x:v>
      </x:c>
      <x:c r="T68" t="n">
        <x:v>50</x:v>
      </x:c>
      <x:c r="U68" t="str">
        <x:v>Renovated</x:v>
      </x:c>
      <x:c r="V68" s="16" t="n">
        <x:v>14.7</x:v>
      </x:c>
      <x:c r="W68" t="str">
        <x:v>East</x:v>
      </x:c>
      <x:c r="X68" t="n">
        <x:v>0</x:v>
      </x:c>
      <x:c r="Y68" s="16" t="n">
        <x:v>0</x:v>
      </x:c>
      <x:c r="Z68" s="1" t="b">
        <x:v>1</x:v>
      </x:c>
      <x:c r="AA68" t="str">
        <x:v>East, West</x:v>
      </x:c>
      <x:c r="AB68" s="16" t="n">
        <x:v>0</x:v>
      </x:c>
      <x:c r="AC68" s="16" t="n">
        <x:v>0</x:v>
      </x:c>
      <x:c r="AD68" s="1" t="b">
        <x:v>0</x:v>
      </x:c>
    </x:row>
    <x:row r="69">
      <x:c r="A69" t="str">
        <x:v>SYN-0068</x:v>
      </x:c>
      <x:c r="B69" s="12" t="n">
        <x:v>46212</x:v>
      </x:c>
      <x:c r="C69" t="str">
        <x:v>Synthetic New-Project Listing</x:v>
      </x:c>
      <x:c r="D69" t="str">
        <x:v>https://example.com/listings/SYN-0068</x:v>
      </x:c>
      <x:c r="E69" t="str">
        <x:v>New Project</x:v>
      </x:c>
      <x:c r="F69" t="str">
        <x:v>Kikar Residence</x:v>
      </x:c>
      <x:c r="G69" t="str">
        <x:v>Sample Development A</x:v>
      </x:c>
      <x:c r="H69" t="str">
        <x:v>Mosenzon 58, Tel Aviv</x:v>
      </x:c>
      <x:c r="I69" t="str">
        <x:v>Tel Aviv</x:v>
      </x:c>
      <x:c r="J69" t="str">
        <x:v>Kikar HaMedina / New North</x:v>
      </x:c>
      <x:c r="K69" s="14" t="n">
        <x:v>0.73</x:v>
      </x:c>
      <x:c r="L69" t="str">
        <x:v>Apartment</x:v>
      </x:c>
      <x:c r="M69" t="n">
        <x:v>5</x:v>
      </x:c>
      <x:c r="N69" s="16" t="n">
        <x:v>115.8</x:v>
      </x:c>
      <x:c r="O69" t="n">
        <x:v>6</x:v>
      </x:c>
      <x:c r="P69" t="n">
        <x:v>8</x:v>
      </x:c>
      <x:c r="Q69" s="18" t="n">
        <x:v>9240000</x:v>
      </x:c>
      <x:c r="R69" s="18" t="n">
        <x:f>IFERROR(Q69/N69,"")</x:f>
        <x:v>79792.74611398963</x:v>
      </x:c>
      <x:c r="S69" t="n">
        <x:v>2026</x:v>
      </x:c>
      <x:c r="T69" t="n">
        <x:v>0</x:v>
      </x:c>
      <x:c r="U69" t="str">
        <x:v>New</x:v>
      </x:c>
      <x:c r="V69" s="16" t="n">
        <x:v>18.8</x:v>
      </x:c>
      <x:c r="W69" t="str">
        <x:v>North-West</x:v>
      </x:c>
      <x:c r="X69" t="n">
        <x:v>1</x:v>
      </x:c>
      <x:c r="Y69" s="16" t="n">
        <x:v>5.6</x:v>
      </x:c>
      <x:c r="Z69" s="1" t="b">
        <x:v>1</x:v>
      </x:c>
      <x:c r="AA69" t="str">
        <x:v>North-West, South</x:v>
      </x:c>
      <x:c r="AB69" s="16" t="n">
        <x:v>0</x:v>
      </x:c>
      <x:c r="AC69" s="16" t="n">
        <x:v>0</x:v>
      </x:c>
      <x:c r="AD69" s="1" t="b">
        <x:v>0</x:v>
      </x:c>
    </x:row>
    <x:row r="70">
      <x:c r="A70" t="str">
        <x:v>SYN-0069</x:v>
      </x:c>
      <x:c r="B70" s="12" t="n">
        <x:v>46235</x:v>
      </x:c>
      <x:c r="C70" t="str">
        <x:v>Synthetic New-Project Listing</x:v>
      </x:c>
      <x:c r="D70" t="str">
        <x:v>https://example.com/listings/SYN-0069</x:v>
      </x:c>
      <x:c r="E70" t="str">
        <x:v>New Project</x:v>
      </x:c>
      <x:c r="F70" t="str">
        <x:v>Medina Boutique</x:v>
      </x:c>
      <x:c r="G70" t="str">
        <x:v>Sample Development E</x:v>
      </x:c>
      <x:c r="H70" t="str">
        <x:v>Biltmore 78, Tel Aviv</x:v>
      </x:c>
      <x:c r="I70" t="str">
        <x:v>Tel Aviv</x:v>
      </x:c>
      <x:c r="J70" t="str">
        <x:v>Kikar HaMedina / New North</x:v>
      </x:c>
      <x:c r="K70" s="14" t="n">
        <x:v>0.95</x:v>
      </x:c>
      <x:c r="L70" t="str">
        <x:v>Apartment</x:v>
      </x:c>
      <x:c r="M70" t="n">
        <x:v>5</x:v>
      </x:c>
      <x:c r="N70" s="16" t="n">
        <x:v>124.3</x:v>
      </x:c>
      <x:c r="O70" t="n">
        <x:v>2</x:v>
      </x:c>
      <x:c r="P70" t="n">
        <x:v>16</x:v>
      </x:c>
      <x:c r="Q70" s="18" t="n">
        <x:v>9390000</x:v>
      </x:c>
      <x:c r="R70" s="18" t="n">
        <x:f>IFERROR(Q70/N70,"")</x:f>
        <x:v>75543.0410297667</x:v>
      </x:c>
      <x:c r="S70" t="n">
        <x:v>2027</x:v>
      </x:c>
      <x:c r="T70" t="n">
        <x:v>0</x:v>
      </x:c>
      <x:c r="U70" t="str">
        <x:v>New</x:v>
      </x:c>
      <x:c r="V70" s="16" t="n">
        <x:v>8.1</x:v>
      </x:c>
      <x:c r="W70" t="str">
        <x:v>South</x:v>
      </x:c>
      <x:c r="X70" t="n">
        <x:v>2</x:v>
      </x:c>
      <x:c r="Y70" s="16" t="n">
        <x:v>9.6</x:v>
      </x:c>
      <x:c r="Z70" s="1" t="b">
        <x:v>1</x:v>
      </x:c>
      <x:c r="AA70" t="str">
        <x:v>South, East</x:v>
      </x:c>
      <x:c r="AB70" s="16" t="n">
        <x:v>0</x:v>
      </x:c>
      <x:c r="AC70" s="16" t="n">
        <x:v>0</x:v>
      </x:c>
      <x:c r="AD70" s="1" t="b">
        <x:v>0</x:v>
      </x:c>
    </x:row>
    <x:row r="71">
      <x:c r="A71" t="str">
        <x:v>SYN-0070</x:v>
      </x:c>
      <x:c r="B71" s="12" t="n">
        <x:v>46234</x:v>
      </x:c>
      <x:c r="C71" t="str">
        <x:v>Synthetic Yad2-like Listing</x:v>
      </x:c>
      <x:c r="D71" t="str">
        <x:v>https://example.com/listings/SYN-0070</x:v>
      </x:c>
      <x:c r="E71" t="str">
        <x:v>Second Hand</x:v>
      </x:c>
      <x:c r="F71" t="str"/>
      <x:c r="G71" t="str"/>
      <x:c r="H71" t="str">
        <x:v>Klay 140, Tel Aviv</x:v>
      </x:c>
      <x:c r="I71" t="str">
        <x:v>Tel Aviv</x:v>
      </x:c>
      <x:c r="J71" t="str">
        <x:v>Kikar HaMedina / New North</x:v>
      </x:c>
      <x:c r="K71" s="14" t="n">
        <x:v>0.64</x:v>
      </x:c>
      <x:c r="L71" t="str">
        <x:v>Apartment</x:v>
      </x:c>
      <x:c r="M71" t="n">
        <x:v>2</x:v>
      </x:c>
      <x:c r="N71" s="16" t="n">
        <x:v>53.2</x:v>
      </x:c>
      <x:c r="O71" t="n">
        <x:v>3</x:v>
      </x:c>
      <x:c r="P71" t="n">
        <x:v>15</x:v>
      </x:c>
      <x:c r="Q71" s="18" t="n">
        <x:v>4290000</x:v>
      </x:c>
      <x:c r="R71" s="18" t="n">
        <x:f>IFERROR(Q71/N71,"")</x:f>
        <x:v>80639.0977443609</x:v>
      </x:c>
      <x:c r="S71" t="n">
        <x:v>1983</x:v>
      </x:c>
      <x:c r="T71" t="n">
        <x:v>43</x:v>
      </x:c>
      <x:c r="U71" t="str">
        <x:v>Renovated</x:v>
      </x:c>
      <x:c r="V71" s="16" t="n">
        <x:v>17.8</x:v>
      </x:c>
      <x:c r="W71" t="str">
        <x:v>West</x:v>
      </x:c>
      <x:c r="X71" t="n">
        <x:v>1</x:v>
      </x:c>
      <x:c r="Y71" s="16" t="n">
        <x:v>7.7</x:v>
      </x:c>
      <x:c r="Z71" s="1" t="b">
        <x:v>1</x:v>
      </x:c>
      <x:c r="AA71" t="str">
        <x:v>West, West</x:v>
      </x:c>
      <x:c r="AB71" s="16" t="n">
        <x:v>0</x:v>
      </x:c>
      <x:c r="AC71" s="16" t="n">
        <x:v>0</x:v>
      </x:c>
      <x:c r="AD71" s="1" t="b">
        <x:v>0</x:v>
      </x:c>
    </x:row>
    <x:row r="72">
      <x:c r="A72" t="str">
        <x:v>SYN-0071</x:v>
      </x:c>
      <x:c r="B72" s="12" t="n">
        <x:v>46255</x:v>
      </x:c>
      <x:c r="C72" t="str">
        <x:v>Synthetic New-Project Listing</x:v>
      </x:c>
      <x:c r="D72" t="str">
        <x:v>https://example.com/listings/SYN-0071</x:v>
      </x:c>
      <x:c r="E72" t="str">
        <x:v>New Project</x:v>
      </x:c>
      <x:c r="F72" t="str">
        <x:v>Weizmann Urban</x:v>
      </x:c>
      <x:c r="G72" t="str">
        <x:v>Sample Development B</x:v>
      </x:c>
      <x:c r="H72" t="str">
        <x:v>Helsinki 165, Tel Aviv</x:v>
      </x:c>
      <x:c r="I72" t="str">
        <x:v>Tel Aviv</x:v>
      </x:c>
      <x:c r="J72" t="str">
        <x:v>Kikar HaMedina / New North</x:v>
      </x:c>
      <x:c r="K72" s="14" t="n">
        <x:v>0.06</x:v>
      </x:c>
      <x:c r="L72" t="str">
        <x:v>Apartment</x:v>
      </x:c>
      <x:c r="M72" t="n">
        <x:v>3</x:v>
      </x:c>
      <x:c r="N72" s="16" t="n">
        <x:v>73.6</x:v>
      </x:c>
      <x:c r="O72" t="n">
        <x:v>11</x:v>
      </x:c>
      <x:c r="P72" t="n">
        <x:v>12</x:v>
      </x:c>
      <x:c r="Q72" s="18" t="n">
        <x:v>6200000</x:v>
      </x:c>
      <x:c r="R72" s="18" t="n">
        <x:f>IFERROR(Q72/N72,"")</x:f>
        <x:v>84239.13043478261</x:v>
      </x:c>
      <x:c r="S72" t="n">
        <x:v>2026</x:v>
      </x:c>
      <x:c r="T72" t="n">
        <x:v>0</x:v>
      </x:c>
      <x:c r="U72" t="str">
        <x:v>New</x:v>
      </x:c>
      <x:c r="V72" s="16" t="n">
        <x:v>18.5</x:v>
      </x:c>
      <x:c r="W72" t="str">
        <x:v>South</x:v>
      </x:c>
      <x:c r="X72" t="n">
        <x:v>1</x:v>
      </x:c>
      <x:c r="Y72" s="16" t="n">
        <x:v>0</x:v>
      </x:c>
      <x:c r="Z72" s="1" t="b">
        <x:v>1</x:v>
      </x:c>
      <x:c r="AA72" t="str">
        <x:v>South, East</x:v>
      </x:c>
      <x:c r="AB72" s="16" t="n">
        <x:v>0</x:v>
      </x:c>
      <x:c r="AC72" s="16" t="n">
        <x:v>0</x:v>
      </x:c>
      <x:c r="AD72" s="1" t="b">
        <x:v>1</x:v>
      </x:c>
    </x:row>
    <x:row r="73">
      <x:c r="A73" t="str">
        <x:v>SYN-0072</x:v>
      </x:c>
      <x:c r="B73" s="12" t="n">
        <x:v>46225</x:v>
      </x:c>
      <x:c r="C73" t="str">
        <x:v>Synthetic New-Project Listing</x:v>
      </x:c>
      <x:c r="D73" t="str">
        <x:v>https://example.com/listings/SYN-0072</x:v>
      </x:c>
      <x:c r="E73" t="str">
        <x:v>New Project</x:v>
      </x:c>
      <x:c r="F73" t="str">
        <x:v>North TLV Living</x:v>
      </x:c>
      <x:c r="G73" t="str">
        <x:v>Sample Development D</x:v>
      </x:c>
      <x:c r="H73" t="str">
        <x:v>Bavli 10, Tel Aviv</x:v>
      </x:c>
      <x:c r="I73" t="str">
        <x:v>Tel Aviv</x:v>
      </x:c>
      <x:c r="J73" t="str">
        <x:v>Kikar HaMedina / New North</x:v>
      </x:c>
      <x:c r="K73" s="14" t="n">
        <x:v>0.81</x:v>
      </x:c>
      <x:c r="L73" t="str">
        <x:v>Garden Apartment</x:v>
      </x:c>
      <x:c r="M73" t="n">
        <x:v>4</x:v>
      </x:c>
      <x:c r="N73" s="16" t="n">
        <x:v>106.9</x:v>
      </x:c>
      <x:c r="O73" t="n">
        <x:v>0</x:v>
      </x:c>
      <x:c r="P73" t="n">
        <x:v>8</x:v>
      </x:c>
      <x:c r="Q73" s="18" t="n">
        <x:v>9700000</x:v>
      </x:c>
      <x:c r="R73" s="18" t="n">
        <x:f>IFERROR(Q73/N73,"")</x:f>
        <x:v>90739.00841908326</x:v>
      </x:c>
      <x:c r="S73" t="n">
        <x:v>2027</x:v>
      </x:c>
      <x:c r="T73" t="n">
        <x:v>0</x:v>
      </x:c>
      <x:c r="U73" t="str">
        <x:v>New</x:v>
      </x:c>
      <x:c r="V73" s="16" t="n">
        <x:v>55.5</x:v>
      </x:c>
      <x:c r="W73" t="str">
        <x:v>North-East</x:v>
      </x:c>
      <x:c r="X73" t="n">
        <x:v>1</x:v>
      </x:c>
      <x:c r="Y73" s="16" t="n">
        <x:v>0</x:v>
      </x:c>
      <x:c r="Z73" s="1" t="b">
        <x:v>1</x:v>
      </x:c>
      <x:c r="AA73" t="str">
        <x:v>North-East, West</x:v>
      </x:c>
      <x:c r="AB73" s="16" t="n">
        <x:v>98</x:v>
      </x:c>
      <x:c r="AC73" s="16" t="n">
        <x:v>0</x:v>
      </x:c>
      <x:c r="AD73" s="1" t="b">
        <x:v>0</x:v>
      </x:c>
    </x:row>
    <x:row r="74">
      <x:c r="A74" t="str">
        <x:v>SYN-0073</x:v>
      </x:c>
      <x:c r="B74" s="12" t="n">
        <x:v>46224</x:v>
      </x:c>
      <x:c r="C74" t="str">
        <x:v>Synthetic New-Project Listing</x:v>
      </x:c>
      <x:c r="D74" t="str">
        <x:v>https://example.com/listings/SYN-0073</x:v>
      </x:c>
      <x:c r="E74" t="str">
        <x:v>New Project</x:v>
      </x:c>
      <x:c r="F74" t="str">
        <x:v>Medina Boutique</x:v>
      </x:c>
      <x:c r="G74" t="str">
        <x:v>Sample Development E</x:v>
      </x:c>
      <x:c r="H74" t="str">
        <x:v>Bavli 21, Tel Aviv</x:v>
      </x:c>
      <x:c r="I74" t="str">
        <x:v>Tel Aviv</x:v>
      </x:c>
      <x:c r="J74" t="str">
        <x:v>Kikar HaMedina / New North</x:v>
      </x:c>
      <x:c r="K74" s="14" t="n">
        <x:v>0.79</x:v>
      </x:c>
      <x:c r="L74" t="str">
        <x:v>Apartment</x:v>
      </x:c>
      <x:c r="M74" t="n">
        <x:v>4</x:v>
      </x:c>
      <x:c r="N74" s="16" t="n">
        <x:v>96.7</x:v>
      </x:c>
      <x:c r="O74" t="n">
        <x:v>6</x:v>
      </x:c>
      <x:c r="P74" t="n">
        <x:v>18</x:v>
      </x:c>
      <x:c r="Q74" s="18" t="n">
        <x:v>7120000</x:v>
      </x:c>
      <x:c r="R74" s="18" t="n">
        <x:f>IFERROR(Q74/N74,"")</x:f>
        <x:v>73629.78283350568</x:v>
      </x:c>
      <x:c r="S74" t="n">
        <x:v>2026</x:v>
      </x:c>
      <x:c r="T74" t="n">
        <x:v>0</x:v>
      </x:c>
      <x:c r="U74" t="str">
        <x:v>New</x:v>
      </x:c>
      <x:c r="V74" s="16" t="n">
        <x:v>0</x:v>
      </x:c>
      <x:c r="W74" t="str"/>
      <x:c r="X74" t="n">
        <x:v>1</x:v>
      </x:c>
      <x:c r="Y74" s="16" t="n">
        <x:v>7.8</x:v>
      </x:c>
      <x:c r="Z74" s="1" t="b">
        <x:v>1</x:v>
      </x:c>
      <x:c r="AA74" t="str">
        <x:v>South-West</x:v>
      </x:c>
      <x:c r="AB74" s="16" t="n">
        <x:v>0</x:v>
      </x:c>
      <x:c r="AC74" s="16" t="n">
        <x:v>0</x:v>
      </x:c>
      <x:c r="AD74" s="1" t="b">
        <x:v>0</x:v>
      </x:c>
    </x:row>
    <x:row r="75">
      <x:c r="A75" t="str">
        <x:v>SYN-0074</x:v>
      </x:c>
      <x:c r="B75" s="12" t="n">
        <x:v>46205</x:v>
      </x:c>
      <x:c r="C75" t="str">
        <x:v>Synthetic Yad2-like Listing</x:v>
      </x:c>
      <x:c r="D75" t="str">
        <x:v>https://example.com/listings/SYN-0074</x:v>
      </x:c>
      <x:c r="E75" t="str">
        <x:v>Second Hand</x:v>
      </x:c>
      <x:c r="F75" t="str"/>
      <x:c r="G75" t="str"/>
      <x:c r="H75" t="str">
        <x:v>Weizmann 172, Tel Aviv</x:v>
      </x:c>
      <x:c r="I75" t="str">
        <x:v>Tel Aviv</x:v>
      </x:c>
      <x:c r="J75" t="str">
        <x:v>Kikar HaMedina / New North</x:v>
      </x:c>
      <x:c r="K75" s="14" t="n">
        <x:v>0.13</x:v>
      </x:c>
      <x:c r="L75" t="str">
        <x:v>Apartment</x:v>
      </x:c>
      <x:c r="M75" t="n">
        <x:v>3</x:v>
      </x:c>
      <x:c r="N75" s="16" t="n">
        <x:v>78.9</x:v>
      </x:c>
      <x:c r="O75" t="n">
        <x:v>6</x:v>
      </x:c>
      <x:c r="P75" t="n">
        <x:v>9</x:v>
      </x:c>
      <x:c r="Q75" s="18" t="n">
        <x:v>5320000</x:v>
      </x:c>
      <x:c r="R75" s="18" t="n">
        <x:f>IFERROR(Q75/N75,"")</x:f>
        <x:v>67427.12294043093</x:v>
      </x:c>
      <x:c r="S75" t="n">
        <x:v>2010</x:v>
      </x:c>
      <x:c r="T75" t="n">
        <x:v>16</x:v>
      </x:c>
      <x:c r="U75" t="str">
        <x:v>Needs Renovation</x:v>
      </x:c>
      <x:c r="V75" s="16" t="n">
        <x:v>8.7</x:v>
      </x:c>
      <x:c r="W75" t="str">
        <x:v>North-West</x:v>
      </x:c>
      <x:c r="X75" t="n">
        <x:v>1</x:v>
      </x:c>
      <x:c r="Y75" s="16" t="n">
        <x:v>0</x:v>
      </x:c>
      <x:c r="Z75" s="1" t="b">
        <x:v>1</x:v>
      </x:c>
      <x:c r="AA75" t="str">
        <x:v>North-West, North</x:v>
      </x:c>
      <x:c r="AB75" s="16" t="n">
        <x:v>0</x:v>
      </x:c>
      <x:c r="AC75" s="16" t="n">
        <x:v>0</x:v>
      </x:c>
      <x:c r="AD75" s="1" t="b">
        <x:v>0</x:v>
      </x:c>
    </x:row>
    <x:row r="76">
      <x:c r="A76" t="str">
        <x:v>SYN-0075</x:v>
      </x:c>
      <x:c r="B76" s="12" t="n">
        <x:v>46237</x:v>
      </x:c>
      <x:c r="C76" t="str">
        <x:v>Synthetic New-Project Listing</x:v>
      </x:c>
      <x:c r="D76" t="str">
        <x:v>https://example.com/listings/SYN-0075</x:v>
      </x:c>
      <x:c r="E76" t="str">
        <x:v>New Project</x:v>
      </x:c>
      <x:c r="F76" t="str">
        <x:v>North TLV Living</x:v>
      </x:c>
      <x:c r="G76" t="str">
        <x:v>Sample Development D</x:v>
      </x:c>
      <x:c r="H76" t="str">
        <x:v>Weizmann 102, Tel Aviv</x:v>
      </x:c>
      <x:c r="I76" t="str">
        <x:v>Tel Aviv</x:v>
      </x:c>
      <x:c r="J76" t="str">
        <x:v>Kikar HaMedina / New North</x:v>
      </x:c>
      <x:c r="K76" s="14" t="n">
        <x:v>0.16</x:v>
      </x:c>
      <x:c r="L76" t="str">
        <x:v>Garden Apartment</x:v>
      </x:c>
      <x:c r="M76" t="n">
        <x:v>4</x:v>
      </x:c>
      <x:c r="N76" s="16" t="n">
        <x:v>103.6</x:v>
      </x:c>
      <x:c r="O76" t="n">
        <x:v>0</x:v>
      </x:c>
      <x:c r="P76" t="n">
        <x:v>6</x:v>
      </x:c>
      <x:c r="Q76" s="18" t="n">
        <x:v>9120000</x:v>
      </x:c>
      <x:c r="R76" s="18" t="n">
        <x:f>IFERROR(Q76/N76,"")</x:f>
        <x:v>88030.88803088803</x:v>
      </x:c>
      <x:c r="S76" t="n">
        <x:v>2026</x:v>
      </x:c>
      <x:c r="T76" t="n">
        <x:v>0</x:v>
      </x:c>
      <x:c r="U76" t="str">
        <x:v>New</x:v>
      </x:c>
      <x:c r="V76" s="16" t="n">
        <x:v>59.9</x:v>
      </x:c>
      <x:c r="W76" t="str">
        <x:v>North</x:v>
      </x:c>
      <x:c r="X76" t="n">
        <x:v>1</x:v>
      </x:c>
      <x:c r="Y76" s="16" t="n">
        <x:v>9.6</x:v>
      </x:c>
      <x:c r="Z76" s="1" t="b">
        <x:v>1</x:v>
      </x:c>
      <x:c r="AA76" t="str">
        <x:v>North, West</x:v>
      </x:c>
      <x:c r="AB76" s="16" t="n">
        <x:v>102.2</x:v>
      </x:c>
      <x:c r="AC76" s="16" t="n">
        <x:v>0</x:v>
      </x:c>
      <x:c r="AD76" s="1" t="b">
        <x:v>0</x:v>
      </x:c>
    </x:row>
    <x:row r="77">
      <x:c r="A77" t="str">
        <x:v>SYN-0076</x:v>
      </x:c>
      <x:c r="B77" s="12" t="n">
        <x:v>46247</x:v>
      </x:c>
      <x:c r="C77" t="str">
        <x:v>Synthetic New-Project Listing</x:v>
      </x:c>
      <x:c r="D77" t="str">
        <x:v>https://example.com/listings/SYN-0076</x:v>
      </x:c>
      <x:c r="E77" t="str">
        <x:v>New Project</x:v>
      </x:c>
      <x:c r="F77" t="str">
        <x:v>Weizmann Urban</x:v>
      </x:c>
      <x:c r="G77" t="str">
        <x:v>Sample Development B</x:v>
      </x:c>
      <x:c r="H77" t="str">
        <x:v>Weizmann 35, Tel Aviv</x:v>
      </x:c>
      <x:c r="I77" t="str">
        <x:v>Tel Aviv</x:v>
      </x:c>
      <x:c r="J77" t="str">
        <x:v>Kikar HaMedina / New North</x:v>
      </x:c>
      <x:c r="K77" s="14" t="n">
        <x:v>0.21</x:v>
      </x:c>
      <x:c r="L77" t="str">
        <x:v>Apartment</x:v>
      </x:c>
      <x:c r="M77" t="n">
        <x:v>4</x:v>
      </x:c>
      <x:c r="N77" s="16" t="n">
        <x:v>93.2</x:v>
      </x:c>
      <x:c r="O77" t="n">
        <x:v>4</x:v>
      </x:c>
      <x:c r="P77" t="n">
        <x:v>16</x:v>
      </x:c>
      <x:c r="Q77" s="18" t="n">
        <x:v>7090000</x:v>
      </x:c>
      <x:c r="R77" s="18" t="n">
        <x:f>IFERROR(Q77/N77,"")</x:f>
        <x:v>76072.96137339056</x:v>
      </x:c>
      <x:c r="S77" t="n">
        <x:v>2026</x:v>
      </x:c>
      <x:c r="T77" t="n">
        <x:v>0</x:v>
      </x:c>
      <x:c r="U77" t="str">
        <x:v>New</x:v>
      </x:c>
      <x:c r="V77" s="16" t="n">
        <x:v>0</x:v>
      </x:c>
      <x:c r="W77" t="str"/>
      <x:c r="X77" t="n">
        <x:v>1</x:v>
      </x:c>
      <x:c r="Y77" s="16" t="n">
        <x:v>0</x:v>
      </x:c>
      <x:c r="Z77" s="1" t="b">
        <x:v>1</x:v>
      </x:c>
      <x:c r="AA77" t="str">
        <x:v>North</x:v>
      </x:c>
      <x:c r="AB77" s="16" t="n">
        <x:v>0</x:v>
      </x:c>
      <x:c r="AC77" s="16" t="n">
        <x:v>0</x:v>
      </x:c>
      <x:c r="AD77" s="1" t="b">
        <x:v>0</x:v>
      </x:c>
    </x:row>
    <x:row r="78">
      <x:c r="A78" t="str">
        <x:v>SYN-0077</x:v>
      </x:c>
      <x:c r="B78" s="12" t="n">
        <x:v>46249</x:v>
      </x:c>
      <x:c r="C78" t="str">
        <x:v>Synthetic Yad2-like Listing</x:v>
      </x:c>
      <x:c r="D78" t="str">
        <x:v>https://example.com/listings/SYN-0077</x:v>
      </x:c>
      <x:c r="E78" t="str">
        <x:v>Second Hand</x:v>
      </x:c>
      <x:c r="F78" t="str"/>
      <x:c r="G78" t="str"/>
      <x:c r="H78" t="str">
        <x:v>Mosenzon 142, Tel Aviv</x:v>
      </x:c>
      <x:c r="I78" t="str">
        <x:v>Tel Aviv</x:v>
      </x:c>
      <x:c r="J78" t="str">
        <x:v>Kikar HaMedina / New North</x:v>
      </x:c>
      <x:c r="K78" s="14" t="n">
        <x:v>0.73</x:v>
      </x:c>
      <x:c r="L78" t="str">
        <x:v>Apartment</x:v>
      </x:c>
      <x:c r="M78" t="n">
        <x:v>5</x:v>
      </x:c>
      <x:c r="N78" s="16" t="n">
        <x:v>129.4</x:v>
      </x:c>
      <x:c r="O78" t="n">
        <x:v>11</x:v>
      </x:c>
      <x:c r="P78" t="n">
        <x:v>12</x:v>
      </x:c>
      <x:c r="Q78" s="18" t="n">
        <x:v>8700000</x:v>
      </x:c>
      <x:c r="R78" s="18" t="n">
        <x:f>IFERROR(Q78/N78,"")</x:f>
        <x:v>67233.38485316846</x:v>
      </x:c>
      <x:c r="S78" t="n">
        <x:v>2010</x:v>
      </x:c>
      <x:c r="T78" t="n">
        <x:v>16</x:v>
      </x:c>
      <x:c r="U78" t="str">
        <x:v>Good</x:v>
      </x:c>
      <x:c r="V78" s="16" t="n">
        <x:v>11.8</x:v>
      </x:c>
      <x:c r="W78" t="str">
        <x:v>East</x:v>
      </x:c>
      <x:c r="X78" t="n">
        <x:v>0</x:v>
      </x:c>
      <x:c r="Y78" s="16" t="n">
        <x:v>4.4</x:v>
      </x:c>
      <x:c r="Z78" s="1" t="b">
        <x:v>1</x:v>
      </x:c>
      <x:c r="AA78" t="str">
        <x:v>East, South</x:v>
      </x:c>
      <x:c r="AB78" s="16" t="n">
        <x:v>0</x:v>
      </x:c>
      <x:c r="AC78" s="16" t="n">
        <x:v>0</x:v>
      </x:c>
      <x:c r="AD78" s="1" t="b">
        <x:v>1</x:v>
      </x:c>
    </x:row>
    <x:row r="79">
      <x:c r="A79" t="str">
        <x:v>SYN-0078</x:v>
      </x:c>
      <x:c r="B79" s="12" t="n">
        <x:v>46223</x:v>
      </x:c>
      <x:c r="C79" t="str">
        <x:v>Synthetic Yad2-like Listing</x:v>
      </x:c>
      <x:c r="D79" t="str">
        <x:v>https://example.com/listings/SYN-0078</x:v>
      </x:c>
      <x:c r="E79" t="str">
        <x:v>Second Hand</x:v>
      </x:c>
      <x:c r="F79" t="str"/>
      <x:c r="G79" t="str"/>
      <x:c r="H79" t="str">
        <x:v>Pinkas 111, Tel Aviv</x:v>
      </x:c>
      <x:c r="I79" t="str">
        <x:v>Tel Aviv</x:v>
      </x:c>
      <x:c r="J79" t="str">
        <x:v>Kikar HaMedina / New North</x:v>
      </x:c>
      <x:c r="K79" s="14" t="n">
        <x:v>0.42</x:v>
      </x:c>
      <x:c r="L79" t="str">
        <x:v>Penthouse</x:v>
      </x:c>
      <x:c r="M79" t="n">
        <x:v>4</x:v>
      </x:c>
      <x:c r="N79" s="16" t="n">
        <x:v>103.4</x:v>
      </x:c>
      <x:c r="O79" t="n">
        <x:v>9</x:v>
      </x:c>
      <x:c r="P79" t="n">
        <x:v>11</x:v>
      </x:c>
      <x:c r="Q79" s="18" t="n">
        <x:v>8890000</x:v>
      </x:c>
      <x:c r="R79" s="18" t="n">
        <x:f>IFERROR(Q79/N79,"")</x:f>
        <x:v>85976.78916827853</x:v>
      </x:c>
      <x:c r="S79" t="n">
        <x:v>1997</x:v>
      </x:c>
      <x:c r="T79" t="n">
        <x:v>29</x:v>
      </x:c>
      <x:c r="U79" t="str">
        <x:v>Renovated</x:v>
      </x:c>
      <x:c r="V79" s="16" t="n">
        <x:v>38.6</x:v>
      </x:c>
      <x:c r="W79" t="str">
        <x:v>North-West</x:v>
      </x:c>
      <x:c r="X79" t="n">
        <x:v>1</x:v>
      </x:c>
      <x:c r="Y79" s="16" t="n">
        <x:v>0</x:v>
      </x:c>
      <x:c r="Z79" s="1" t="b">
        <x:v>1</x:v>
      </x:c>
      <x:c r="AA79" t="str">
        <x:v>North-West, South</x:v>
      </x:c>
      <x:c r="AB79" s="16" t="n">
        <x:v>0</x:v>
      </x:c>
      <x:c r="AC79" s="16" t="n">
        <x:v>26.3</x:v>
      </x:c>
      <x:c r="AD79" s="1" t="b">
        <x:v>0</x:v>
      </x:c>
    </x:row>
    <x:row r="80">
      <x:c r="A80" t="str">
        <x:v>SYN-0079</x:v>
      </x:c>
      <x:c r="B80" s="12" t="n">
        <x:v>46205</x:v>
      </x:c>
      <x:c r="C80" t="str">
        <x:v>Synthetic New-Project Listing</x:v>
      </x:c>
      <x:c r="D80" t="str">
        <x:v>https://example.com/listings/SYN-0079</x:v>
      </x:c>
      <x:c r="E80" t="str">
        <x:v>New Project</x:v>
      </x:c>
      <x:c r="F80" t="str">
        <x:v>Weizmann Urban</x:v>
      </x:c>
      <x:c r="G80" t="str">
        <x:v>Sample Development B</x:v>
      </x:c>
      <x:c r="H80" t="str">
        <x:v>Epstein 169, Tel Aviv</x:v>
      </x:c>
      <x:c r="I80" t="str">
        <x:v>Tel Aviv</x:v>
      </x:c>
      <x:c r="J80" t="str">
        <x:v>Kikar HaMedina / New North</x:v>
      </x:c>
      <x:c r="K80" s="14" t="n">
        <x:v>0.89</x:v>
      </x:c>
      <x:c r="L80" t="str">
        <x:v>Apartment</x:v>
      </x:c>
      <x:c r="M80" t="n">
        <x:v>3</x:v>
      </x:c>
      <x:c r="N80" s="16" t="n">
        <x:v>81.3</x:v>
      </x:c>
      <x:c r="O80" t="n">
        <x:v>5</x:v>
      </x:c>
      <x:c r="P80" t="n">
        <x:v>14</x:v>
      </x:c>
      <x:c r="Q80" s="18" t="n">
        <x:v>6400000</x:v>
      </x:c>
      <x:c r="R80" s="18" t="n">
        <x:f>IFERROR(Q80/N80,"")</x:f>
        <x:v>78720.78720787208</x:v>
      </x:c>
      <x:c r="S80" t="n">
        <x:v>2027</x:v>
      </x:c>
      <x:c r="T80" t="n">
        <x:v>0</x:v>
      </x:c>
      <x:c r="U80" t="str">
        <x:v>New</x:v>
      </x:c>
      <x:c r="V80" s="16" t="n">
        <x:v>12</x:v>
      </x:c>
      <x:c r="W80" t="str">
        <x:v>North-East</x:v>
      </x:c>
      <x:c r="X80" t="n">
        <x:v>1</x:v>
      </x:c>
      <x:c r="Y80" s="16" t="n">
        <x:v>6.7</x:v>
      </x:c>
      <x:c r="Z80" s="1" t="b">
        <x:v>1</x:v>
      </x:c>
      <x:c r="AA80" t="str">
        <x:v>North-East</x:v>
      </x:c>
      <x:c r="AB80" s="16" t="n">
        <x:v>0</x:v>
      </x:c>
      <x:c r="AC80" s="16" t="n">
        <x:v>0</x:v>
      </x:c>
      <x:c r="AD80" s="1" t="b">
        <x:v>0</x:v>
      </x:c>
    </x:row>
    <x:row r="81">
      <x:c r="A81" t="str">
        <x:v>SYN-0080</x:v>
      </x:c>
      <x:c r="B81" s="12" t="n">
        <x:v>46225</x:v>
      </x:c>
      <x:c r="C81" t="str">
        <x:v>Synthetic New-Project Listing</x:v>
      </x:c>
      <x:c r="D81" t="str">
        <x:v>https://example.com/listings/SYN-0080</x:v>
      </x:c>
      <x:c r="E81" t="str">
        <x:v>New Project</x:v>
      </x:c>
      <x:c r="F81" t="str">
        <x:v>Weizmann Urban</x:v>
      </x:c>
      <x:c r="G81" t="str">
        <x:v>Sample Development B</x:v>
      </x:c>
      <x:c r="H81" t="str">
        <x:v>Biltmore 77, Tel Aviv</x:v>
      </x:c>
      <x:c r="I81" t="str">
        <x:v>Tel Aviv</x:v>
      </x:c>
      <x:c r="J81" t="str">
        <x:v>Kikar HaMedina / New North</x:v>
      </x:c>
      <x:c r="K81" s="14" t="n">
        <x:v>0.88</x:v>
      </x:c>
      <x:c r="L81" t="str">
        <x:v>Apartment</x:v>
      </x:c>
      <x:c r="M81" t="n">
        <x:v>5</x:v>
      </x:c>
      <x:c r="N81" s="16" t="n">
        <x:v>132</x:v>
      </x:c>
      <x:c r="O81" t="n">
        <x:v>4</x:v>
      </x:c>
      <x:c r="P81" t="n">
        <x:v>15</x:v>
      </x:c>
      <x:c r="Q81" s="18" t="n">
        <x:v>10310000</x:v>
      </x:c>
      <x:c r="R81" s="18" t="n">
        <x:f>IFERROR(Q81/N81,"")</x:f>
        <x:v>78106.06060606061</x:v>
      </x:c>
      <x:c r="S81" t="n">
        <x:v>2026</x:v>
      </x:c>
      <x:c r="T81" t="n">
        <x:v>0</x:v>
      </x:c>
      <x:c r="U81" t="str">
        <x:v>New</x:v>
      </x:c>
      <x:c r="V81" s="16" t="n">
        <x:v>22.8</x:v>
      </x:c>
      <x:c r="W81" t="str">
        <x:v>North</x:v>
      </x:c>
      <x:c r="X81" t="n">
        <x:v>1</x:v>
      </x:c>
      <x:c r="Y81" s="16" t="n">
        <x:v>9.7</x:v>
      </x:c>
      <x:c r="Z81" s="1" t="b">
        <x:v>1</x:v>
      </x:c>
      <x:c r="AA81" t="str">
        <x:v>North</x:v>
      </x:c>
      <x:c r="AB81" s="16" t="n">
        <x:v>0</x:v>
      </x:c>
      <x:c r="AC81" s="16" t="n">
        <x:v>0</x:v>
      </x:c>
      <x:c r="AD81" s="1" t="b">
        <x:v>0</x:v>
      </x:c>
    </x:row>
    <x:row r="82">
      <x:c r="A82" t="str">
        <x:v>SYN-0081</x:v>
      </x:c>
      <x:c r="B82" s="12" t="n">
        <x:v>46240</x:v>
      </x:c>
      <x:c r="C82" t="str">
        <x:v>Synthetic Yad2-like Listing</x:v>
      </x:c>
      <x:c r="D82" t="str">
        <x:v>https://example.com/listings/SYN-0081</x:v>
      </x:c>
      <x:c r="E82" t="str">
        <x:v>Second Hand</x:v>
      </x:c>
      <x:c r="F82" t="str"/>
      <x:c r="G82" t="str"/>
      <x:c r="H82" t="str">
        <x:v>Helsinki 158, Tel Aviv</x:v>
      </x:c>
      <x:c r="I82" t="str">
        <x:v>Tel Aviv</x:v>
      </x:c>
      <x:c r="J82" t="str">
        <x:v>Kikar HaMedina / New North</x:v>
      </x:c>
      <x:c r="K82" s="14" t="n">
        <x:v>0.08</x:v>
      </x:c>
      <x:c r="L82" t="str">
        <x:v>Apartment</x:v>
      </x:c>
      <x:c r="M82" t="n">
        <x:v>3</x:v>
      </x:c>
      <x:c r="N82" s="16" t="n">
        <x:v>81.5</x:v>
      </x:c>
      <x:c r="O82" t="n">
        <x:v>11</x:v>
      </x:c>
      <x:c r="P82" t="n">
        <x:v>18</x:v>
      </x:c>
      <x:c r="Q82" s="18" t="n">
        <x:v>6340000</x:v>
      </x:c>
      <x:c r="R82" s="18" t="n">
        <x:f>IFERROR(Q82/N82,"")</x:f>
        <x:v>77791.41104294479</x:v>
      </x:c>
      <x:c r="S82" t="n">
        <x:v>1975</x:v>
      </x:c>
      <x:c r="T82" t="n">
        <x:v>51</x:v>
      </x:c>
      <x:c r="U82" t="str">
        <x:v>Renovated</x:v>
      </x:c>
      <x:c r="V82" s="16" t="n">
        <x:v>20.2</x:v>
      </x:c>
      <x:c r="W82" t="str">
        <x:v>South</x:v>
      </x:c>
      <x:c r="X82" t="n">
        <x:v>1</x:v>
      </x:c>
      <x:c r="Y82" s="16" t="n">
        <x:v>0</x:v>
      </x:c>
      <x:c r="Z82" s="1" t="b">
        <x:v>1</x:v>
      </x:c>
      <x:c r="AA82" t="str">
        <x:v>South</x:v>
      </x:c>
      <x:c r="AB82" s="16" t="n">
        <x:v>0</x:v>
      </x:c>
      <x:c r="AC82" s="16" t="n">
        <x:v>0</x:v>
      </x:c>
      <x:c r="AD82" s="1" t="b">
        <x:v>0</x:v>
      </x:c>
    </x:row>
    <x:row r="83">
      <x:c r="A83" t="str">
        <x:v>SYN-0082</x:v>
      </x:c>
      <x:c r="B83" s="12" t="n">
        <x:v>46204</x:v>
      </x:c>
      <x:c r="C83" t="str">
        <x:v>Synthetic Yad2-like Listing</x:v>
      </x:c>
      <x:c r="D83" t="str">
        <x:v>https://example.com/listings/SYN-0082</x:v>
      </x:c>
      <x:c r="E83" t="str">
        <x:v>Second Hand</x:v>
      </x:c>
      <x:c r="F83" t="str"/>
      <x:c r="G83" t="str"/>
      <x:c r="H83" t="str">
        <x:v>Bavli 127, Tel Aviv</x:v>
      </x:c>
      <x:c r="I83" t="str">
        <x:v>Tel Aviv</x:v>
      </x:c>
      <x:c r="J83" t="str">
        <x:v>Kikar HaMedina / New North</x:v>
      </x:c>
      <x:c r="K83" s="14" t="n">
        <x:v>0.83</x:v>
      </x:c>
      <x:c r="L83" t="str">
        <x:v>Apartment</x:v>
      </x:c>
      <x:c r="M83" t="n">
        <x:v>3</x:v>
      </x:c>
      <x:c r="N83" s="16" t="n">
        <x:v>68.7</x:v>
      </x:c>
      <x:c r="O83" t="n">
        <x:v>8</x:v>
      </x:c>
      <x:c r="P83" t="n">
        <x:v>16</x:v>
      </x:c>
      <x:c r="Q83" s="18" t="n">
        <x:v>4990000</x:v>
      </x:c>
      <x:c r="R83" s="18" t="n">
        <x:f>IFERROR(Q83/N83,"")</x:f>
        <x:v>72634.64337700146</x:v>
      </x:c>
      <x:c r="S83" t="n">
        <x:v>1982</x:v>
      </x:c>
      <x:c r="T83" t="n">
        <x:v>44</x:v>
      </x:c>
      <x:c r="U83" t="str">
        <x:v>Renovated</x:v>
      </x:c>
      <x:c r="V83" s="16" t="n">
        <x:v>8.4</x:v>
      </x:c>
      <x:c r="W83" t="str">
        <x:v>South-East</x:v>
      </x:c>
      <x:c r="X83" t="n">
        <x:v>1</x:v>
      </x:c>
      <x:c r="Y83" s="16" t="n">
        <x:v>0</x:v>
      </x:c>
      <x:c r="Z83" s="1" t="b">
        <x:v>1</x:v>
      </x:c>
      <x:c r="AA83" t="str">
        <x:v>South-East</x:v>
      </x:c>
      <x:c r="AB83" s="16" t="n">
        <x:v>0</x:v>
      </x:c>
      <x:c r="AC83" s="16" t="n">
        <x:v>0</x:v>
      </x:c>
      <x:c r="AD83" s="1" t="b">
        <x:v>0</x:v>
      </x:c>
    </x:row>
    <x:row r="84">
      <x:c r="A84" t="str">
        <x:v>SYN-0083</x:v>
      </x:c>
      <x:c r="B84" s="12" t="n">
        <x:v>46252</x:v>
      </x:c>
      <x:c r="C84" t="str">
        <x:v>Synthetic Yad2-like Listing</x:v>
      </x:c>
      <x:c r="D84" t="str">
        <x:v>https://example.com/listings/SYN-0083</x:v>
      </x:c>
      <x:c r="E84" t="str">
        <x:v>Second Hand</x:v>
      </x:c>
      <x:c r="F84" t="str"/>
      <x:c r="G84" t="str"/>
      <x:c r="H84" t="str">
        <x:v>Epstein 25, Tel Aviv</x:v>
      </x:c>
      <x:c r="I84" t="str">
        <x:v>Tel Aviv</x:v>
      </x:c>
      <x:c r="J84" t="str">
        <x:v>Kikar HaMedina / New North</x:v>
      </x:c>
      <x:c r="K84" s="14" t="n">
        <x:v>0.83</x:v>
      </x:c>
      <x:c r="L84" t="str">
        <x:v>Apartment</x:v>
      </x:c>
      <x:c r="M84" t="n">
        <x:v>3</x:v>
      </x:c>
      <x:c r="N84" s="16" t="n">
        <x:v>85.3</x:v>
      </x:c>
      <x:c r="O84" t="n">
        <x:v>11</x:v>
      </x:c>
      <x:c r="P84" t="n">
        <x:v>14</x:v>
      </x:c>
      <x:c r="Q84" s="18" t="n">
        <x:v>6650000</x:v>
      </x:c>
      <x:c r="R84" s="18" t="n">
        <x:f>IFERROR(Q84/N84,"")</x:f>
        <x:v>77960.14067995311</x:v>
      </x:c>
      <x:c r="S84" t="n">
        <x:v>1995</x:v>
      </x:c>
      <x:c r="T84" t="n">
        <x:v>31</x:v>
      </x:c>
      <x:c r="U84" t="str">
        <x:v>Renovated</x:v>
      </x:c>
      <x:c r="V84" s="16" t="n">
        <x:v>14.4</x:v>
      </x:c>
      <x:c r="W84" t="str">
        <x:v>West</x:v>
      </x:c>
      <x:c r="X84" t="n">
        <x:v>1</x:v>
      </x:c>
      <x:c r="Y84" s="16" t="n">
        <x:v>5.7</x:v>
      </x:c>
      <x:c r="Z84" s="1" t="b">
        <x:v>1</x:v>
      </x:c>
      <x:c r="AA84" t="str">
        <x:v>West, North</x:v>
      </x:c>
      <x:c r="AB84" s="16" t="n">
        <x:v>0</x:v>
      </x:c>
      <x:c r="AC84" s="16" t="n">
        <x:v>0</x:v>
      </x:c>
      <x:c r="AD84" s="1" t="b">
        <x:v>0</x:v>
      </x:c>
    </x:row>
    <x:row r="85">
      <x:c r="A85" t="str">
        <x:v>SYN-0084</x:v>
      </x:c>
      <x:c r="B85" s="12" t="n">
        <x:v>46238</x:v>
      </x:c>
      <x:c r="C85" t="str">
        <x:v>Synthetic New-Project Listing</x:v>
      </x:c>
      <x:c r="D85" t="str">
        <x:v>https://example.com/listings/SYN-0084</x:v>
      </x:c>
      <x:c r="E85" t="str">
        <x:v>New Project</x:v>
      </x:c>
      <x:c r="F85" t="str">
        <x:v>Helsinki Gardens</x:v>
      </x:c>
      <x:c r="G85" t="str">
        <x:v>Sample Development C</x:v>
      </x:c>
      <x:c r="H85" t="str">
        <x:v>Pinkas 101, Tel Aviv</x:v>
      </x:c>
      <x:c r="I85" t="str">
        <x:v>Tel Aviv</x:v>
      </x:c>
      <x:c r="J85" t="str">
        <x:v>Kikar HaMedina / New North</x:v>
      </x:c>
      <x:c r="K85" s="14" t="n">
        <x:v>0.41</x:v>
      </x:c>
      <x:c r="L85" t="str">
        <x:v>Garden Apartment</x:v>
      </x:c>
      <x:c r="M85" t="n">
        <x:v>4</x:v>
      </x:c>
      <x:c r="N85" s="16" t="n">
        <x:v>96</x:v>
      </x:c>
      <x:c r="O85" t="n">
        <x:v>0</x:v>
      </x:c>
      <x:c r="P85" t="n">
        <x:v>4</x:v>
      </x:c>
      <x:c r="Q85" s="18" t="n">
        <x:v>9640000</x:v>
      </x:c>
      <x:c r="R85" s="18" t="n">
        <x:f>IFERROR(Q85/N85,"")</x:f>
        <x:v>100416.66666666667</x:v>
      </x:c>
      <x:c r="S85" t="n">
        <x:v>2027</x:v>
      </x:c>
      <x:c r="T85" t="n">
        <x:v>0</x:v>
      </x:c>
      <x:c r="U85" t="str">
        <x:v>New</x:v>
      </x:c>
      <x:c r="V85" s="16" t="n">
        <x:v>68.8</x:v>
      </x:c>
      <x:c r="W85" t="str">
        <x:v>East</x:v>
      </x:c>
      <x:c r="X85" t="n">
        <x:v>1</x:v>
      </x:c>
      <x:c r="Y85" s="16" t="n">
        <x:v>5.3</x:v>
      </x:c>
      <x:c r="Z85" s="1" t="b">
        <x:v>1</x:v>
      </x:c>
      <x:c r="AA85" t="str">
        <x:v>East, North</x:v>
      </x:c>
      <x:c r="AB85" s="16" t="n">
        <x:v>77.9</x:v>
      </x:c>
      <x:c r="AC85" s="16" t="n">
        <x:v>0</x:v>
      </x:c>
      <x:c r="AD85" s="1" t="b">
        <x:v>0</x:v>
      </x:c>
    </x:row>
    <x:row r="86">
      <x:c r="A86" t="str">
        <x:v>SYN-0085</x:v>
      </x:c>
      <x:c r="B86" s="12" t="n">
        <x:v>46219</x:v>
      </x:c>
      <x:c r="C86" t="str">
        <x:v>Synthetic Yad2-like Listing</x:v>
      </x:c>
      <x:c r="D86" t="str">
        <x:v>https://example.com/listings/SYN-0085</x:v>
      </x:c>
      <x:c r="E86" t="str">
        <x:v>Second Hand</x:v>
      </x:c>
      <x:c r="F86" t="str"/>
      <x:c r="G86" t="str"/>
      <x:c r="H86" t="str">
        <x:v>Helsinki 162, Tel Aviv</x:v>
      </x:c>
      <x:c r="I86" t="str">
        <x:v>Tel Aviv</x:v>
      </x:c>
      <x:c r="J86" t="str">
        <x:v>Kikar HaMedina / New North</x:v>
      </x:c>
      <x:c r="K86" s="14" t="n">
        <x:v>0.06</x:v>
      </x:c>
      <x:c r="L86" t="str">
        <x:v>Apartment</x:v>
      </x:c>
      <x:c r="M86" t="n">
        <x:v>4</x:v>
      </x:c>
      <x:c r="N86" s="16" t="n">
        <x:v>97.5</x:v>
      </x:c>
      <x:c r="O86" t="n">
        <x:v>0</x:v>
      </x:c>
      <x:c r="P86" t="n">
        <x:v>9</x:v>
      </x:c>
      <x:c r="Q86" s="18" t="n">
        <x:v>7000000</x:v>
      </x:c>
      <x:c r="R86" s="18" t="n">
        <x:f>IFERROR(Q86/N86,"")</x:f>
        <x:v>71794.8717948718</x:v>
      </x:c>
      <x:c r="S86" t="n">
        <x:v>1997</x:v>
      </x:c>
      <x:c r="T86" t="n">
        <x:v>29</x:v>
      </x:c>
      <x:c r="U86" t="str">
        <x:v>Good</x:v>
      </x:c>
      <x:c r="V86" s="16" t="n">
        <x:v>12.9</x:v>
      </x:c>
      <x:c r="W86" t="str">
        <x:v>North</x:v>
      </x:c>
      <x:c r="X86" t="n">
        <x:v>1</x:v>
      </x:c>
      <x:c r="Y86" s="16" t="n">
        <x:v>7.6</x:v>
      </x:c>
      <x:c r="Z86" s="1" t="b">
        <x:v>0</x:v>
      </x:c>
      <x:c r="AA86" t="str">
        <x:v>North</x:v>
      </x:c>
      <x:c r="AB86" s="16" t="n">
        <x:v>0</x:v>
      </x:c>
      <x:c r="AC86" s="16" t="n">
        <x:v>0</x:v>
      </x:c>
      <x:c r="AD86" s="1" t="b">
        <x:v>0</x:v>
      </x:c>
    </x:row>
    <x:row r="87">
      <x:c r="A87" t="str">
        <x:v>SYN-0086</x:v>
      </x:c>
      <x:c r="B87" s="12" t="n">
        <x:v>46238</x:v>
      </x:c>
      <x:c r="C87" t="str">
        <x:v>Synthetic New-Project Listing</x:v>
      </x:c>
      <x:c r="D87" t="str">
        <x:v>https://example.com/listings/SYN-0086</x:v>
      </x:c>
      <x:c r="E87" t="str">
        <x:v>New Project</x:v>
      </x:c>
      <x:c r="F87" t="str">
        <x:v>Medina Boutique</x:v>
      </x:c>
      <x:c r="G87" t="str">
        <x:v>Sample Development E</x:v>
      </x:c>
      <x:c r="H87" t="str">
        <x:v>Mosenzon 170, Tel Aviv</x:v>
      </x:c>
      <x:c r="I87" t="str">
        <x:v>Tel Aviv</x:v>
      </x:c>
      <x:c r="J87" t="str">
        <x:v>Kikar HaMedina / New North</x:v>
      </x:c>
      <x:c r="K87" s="14" t="n">
        <x:v>0.78</x:v>
      </x:c>
      <x:c r="L87" t="str">
        <x:v>Apartment</x:v>
      </x:c>
      <x:c r="M87" t="n">
        <x:v>5</x:v>
      </x:c>
      <x:c r="N87" s="16" t="n">
        <x:v>114.9</x:v>
      </x:c>
      <x:c r="O87" t="n">
        <x:v>0</x:v>
      </x:c>
      <x:c r="P87" t="n">
        <x:v>11</x:v>
      </x:c>
      <x:c r="Q87" s="18" t="n">
        <x:v>9080000</x:v>
      </x:c>
      <x:c r="R87" s="18" t="n">
        <x:f>IFERROR(Q87/N87,"")</x:f>
        <x:v>79025.23933855526</x:v>
      </x:c>
      <x:c r="S87" t="n">
        <x:v>2025</x:v>
      </x:c>
      <x:c r="T87" t="n">
        <x:v>1</x:v>
      </x:c>
      <x:c r="U87" t="str">
        <x:v>New</x:v>
      </x:c>
      <x:c r="V87" s="16" t="n">
        <x:v>17.8</x:v>
      </x:c>
      <x:c r="W87" t="str">
        <x:v>South-West</x:v>
      </x:c>
      <x:c r="X87" t="n">
        <x:v>1</x:v>
      </x:c>
      <x:c r="Y87" s="16" t="n">
        <x:v>4</x:v>
      </x:c>
      <x:c r="Z87" s="1" t="b">
        <x:v>1</x:v>
      </x:c>
      <x:c r="AA87" t="str">
        <x:v>South-West</x:v>
      </x:c>
      <x:c r="AB87" s="16" t="n">
        <x:v>0</x:v>
      </x:c>
      <x:c r="AC87" s="16" t="n">
        <x:v>0</x:v>
      </x:c>
      <x:c r="AD87" s="1" t="b">
        <x:v>0</x:v>
      </x:c>
    </x:row>
    <x:row r="88">
      <x:c r="A88" t="str">
        <x:v>SYN-0087</x:v>
      </x:c>
      <x:c r="B88" s="12" t="n">
        <x:v>46247</x:v>
      </x:c>
      <x:c r="C88" t="str">
        <x:v>Synthetic New-Project Listing</x:v>
      </x:c>
      <x:c r="D88" t="str">
        <x:v>https://example.com/listings/SYN-0087</x:v>
      </x:c>
      <x:c r="E88" t="str">
        <x:v>New Project</x:v>
      </x:c>
      <x:c r="F88" t="str">
        <x:v>Helsinki Gardens</x:v>
      </x:c>
      <x:c r="G88" t="str">
        <x:v>Sample Development C</x:v>
      </x:c>
      <x:c r="H88" t="str">
        <x:v>Jabotinsky 123, Tel Aviv</x:v>
      </x:c>
      <x:c r="I88" t="str">
        <x:v>Tel Aviv</x:v>
      </x:c>
      <x:c r="J88" t="str">
        <x:v>Kikar HaMedina / New North</x:v>
      </x:c>
      <x:c r="K88" s="14" t="n">
        <x:v>0.52</x:v>
      </x:c>
      <x:c r="L88" t="str">
        <x:v>Apartment</x:v>
      </x:c>
      <x:c r="M88" t="n">
        <x:v>4</x:v>
      </x:c>
      <x:c r="N88" s="16" t="n">
        <x:v>102.4</x:v>
      </x:c>
      <x:c r="O88" t="n">
        <x:v>10</x:v>
      </x:c>
      <x:c r="P88" t="n">
        <x:v>15</x:v>
      </x:c>
      <x:c r="Q88" s="18" t="n">
        <x:v>7910000</x:v>
      </x:c>
      <x:c r="R88" s="18" t="n">
        <x:f>IFERROR(Q88/N88,"")</x:f>
        <x:v>77246.09375</x:v>
      </x:c>
      <x:c r="S88" t="n">
        <x:v>2026</x:v>
      </x:c>
      <x:c r="T88" t="n">
        <x:v>0</x:v>
      </x:c>
      <x:c r="U88" t="str">
        <x:v>New</x:v>
      </x:c>
      <x:c r="V88" s="16" t="n">
        <x:v>11.9</x:v>
      </x:c>
      <x:c r="W88" t="str">
        <x:v>North-East</x:v>
      </x:c>
      <x:c r="X88" t="n">
        <x:v>1</x:v>
      </x:c>
      <x:c r="Y88" s="16" t="n">
        <x:v>0</x:v>
      </x:c>
      <x:c r="Z88" s="1" t="b">
        <x:v>1</x:v>
      </x:c>
      <x:c r="AA88" t="str">
        <x:v>North-East</x:v>
      </x:c>
      <x:c r="AB88" s="16" t="n">
        <x:v>0</x:v>
      </x:c>
      <x:c r="AC88" s="16" t="n">
        <x:v>0</x:v>
      </x:c>
      <x:c r="AD88" s="1" t="b">
        <x:v>0</x:v>
      </x:c>
    </x:row>
    <x:row r="89">
      <x:c r="A89" t="str">
        <x:v>SYN-0088</x:v>
      </x:c>
      <x:c r="B89" s="12" t="n">
        <x:v>46207</x:v>
      </x:c>
      <x:c r="C89" t="str">
        <x:v>Synthetic Yad2-like Listing</x:v>
      </x:c>
      <x:c r="D89" t="str">
        <x:v>https://example.com/listings/SYN-0088</x:v>
      </x:c>
      <x:c r="E89" t="str">
        <x:v>Second Hand</x:v>
      </x:c>
      <x:c r="F89" t="str"/>
      <x:c r="G89" t="str"/>
      <x:c r="H89" t="str">
        <x:v>Klay 179, Tel Aviv</x:v>
      </x:c>
      <x:c r="I89" t="str">
        <x:v>Tel Aviv</x:v>
      </x:c>
      <x:c r="J89" t="str">
        <x:v>Kikar HaMedina / New North</x:v>
      </x:c>
      <x:c r="K89" s="14" t="n">
        <x:v>0.51</x:v>
      </x:c>
      <x:c r="L89" t="str">
        <x:v>Apartment</x:v>
      </x:c>
      <x:c r="M89" t="n">
        <x:v>5</x:v>
      </x:c>
      <x:c r="N89" s="16" t="n">
        <x:v>122.3</x:v>
      </x:c>
      <x:c r="O89" t="n">
        <x:v>5</x:v>
      </x:c>
      <x:c r="P89" t="n">
        <x:v>18</x:v>
      </x:c>
      <x:c r="Q89" s="18" t="n">
        <x:v>8660000</x:v>
      </x:c>
      <x:c r="R89" s="18" t="n">
        <x:f>IFERROR(Q89/N89,"")</x:f>
        <x:v>70809.48487326247</x:v>
      </x:c>
      <x:c r="S89" t="n">
        <x:v>1994</x:v>
      </x:c>
      <x:c r="T89" t="n">
        <x:v>32</x:v>
      </x:c>
      <x:c r="U89" t="str">
        <x:v>Renovated</x:v>
      </x:c>
      <x:c r="V89" s="16" t="n">
        <x:v>14.9</x:v>
      </x:c>
      <x:c r="W89" t="str">
        <x:v>South</x:v>
      </x:c>
      <x:c r="X89" t="n">
        <x:v>1</x:v>
      </x:c>
      <x:c r="Y89" s="16" t="n">
        <x:v>6.4</x:v>
      </x:c>
      <x:c r="Z89" s="1" t="b">
        <x:v>1</x:v>
      </x:c>
      <x:c r="AA89" t="str">
        <x:v>South, South</x:v>
      </x:c>
      <x:c r="AB89" s="16" t="n">
        <x:v>0</x:v>
      </x:c>
      <x:c r="AC89" s="16" t="n">
        <x:v>0</x:v>
      </x:c>
      <x:c r="AD89" s="1" t="b">
        <x:v>0</x:v>
      </x:c>
    </x:row>
    <x:row r="90">
      <x:c r="A90" t="str">
        <x:v>SYN-0089</x:v>
      </x:c>
      <x:c r="B90" s="12" t="n">
        <x:v>46240</x:v>
      </x:c>
      <x:c r="C90" t="str">
        <x:v>Synthetic Yad2-like Listing</x:v>
      </x:c>
      <x:c r="D90" t="str">
        <x:v>https://example.com/listings/SYN-0089</x:v>
      </x:c>
      <x:c r="E90" t="str">
        <x:v>Second Hand</x:v>
      </x:c>
      <x:c r="F90" t="str"/>
      <x:c r="G90" t="str"/>
      <x:c r="H90" t="str">
        <x:v>Lissin 74, Tel Aviv</x:v>
      </x:c>
      <x:c r="I90" t="str">
        <x:v>Tel Aviv</x:v>
      </x:c>
      <x:c r="J90" t="str">
        <x:v>Kikar HaMedina / New North</x:v>
      </x:c>
      <x:c r="K90" s="14" t="n">
        <x:v>0.6</x:v>
      </x:c>
      <x:c r="L90" t="str">
        <x:v>Apartment</x:v>
      </x:c>
      <x:c r="M90" t="n">
        <x:v>4</x:v>
      </x:c>
      <x:c r="N90" s="16" t="n">
        <x:v>100.8</x:v>
      </x:c>
      <x:c r="O90" t="n">
        <x:v>0</x:v>
      </x:c>
      <x:c r="P90" t="n">
        <x:v>5</x:v>
      </x:c>
      <x:c r="Q90" s="18" t="n">
        <x:v>6090000</x:v>
      </x:c>
      <x:c r="R90" s="18" t="n">
        <x:f>IFERROR(Q90/N90,"")</x:f>
        <x:v>60416.66666666667</x:v>
      </x:c>
      <x:c r="S90" t="n">
        <x:v>2001</x:v>
      </x:c>
      <x:c r="T90" t="n">
        <x:v>25</x:v>
      </x:c>
      <x:c r="U90" t="str">
        <x:v>Needs Renovation</x:v>
      </x:c>
      <x:c r="V90" s="16" t="n">
        <x:v>20.3</x:v>
      </x:c>
      <x:c r="W90" t="str">
        <x:v>North</x:v>
      </x:c>
      <x:c r="X90" t="n">
        <x:v>0</x:v>
      </x:c>
      <x:c r="Y90" s="16" t="n">
        <x:v>0</x:v>
      </x:c>
      <x:c r="Z90" s="1" t="b">
        <x:v>1</x:v>
      </x:c>
      <x:c r="AA90" t="str">
        <x:v>North, South</x:v>
      </x:c>
      <x:c r="AB90" s="16" t="n">
        <x:v>0</x:v>
      </x:c>
      <x:c r="AC90" s="16" t="n">
        <x:v>0</x:v>
      </x:c>
      <x:c r="AD90" s="1" t="b">
        <x:v>0</x:v>
      </x:c>
    </x:row>
    <x:row r="91">
      <x:c r="A91" t="str">
        <x:v>SYN-0090</x:v>
      </x:c>
      <x:c r="B91" s="12" t="n">
        <x:v>46245</x:v>
      </x:c>
      <x:c r="C91" t="str">
        <x:v>Synthetic New-Project Listing</x:v>
      </x:c>
      <x:c r="D91" t="str">
        <x:v>https://example.com/listings/SYN-0090</x:v>
      </x:c>
      <x:c r="E91" t="str">
        <x:v>New Project</x:v>
      </x:c>
      <x:c r="F91" t="str">
        <x:v>Helsinki Gardens</x:v>
      </x:c>
      <x:c r="G91" t="str">
        <x:v>Sample Development C</x:v>
      </x:c>
      <x:c r="H91" t="str">
        <x:v>Helsinki 3, Tel Aviv</x:v>
      </x:c>
      <x:c r="I91" t="str">
        <x:v>Tel Aviv</x:v>
      </x:c>
      <x:c r="J91" t="str">
        <x:v>Kikar HaMedina / New North</x:v>
      </x:c>
      <x:c r="K91" s="14" t="n">
        <x:v>0.11</x:v>
      </x:c>
      <x:c r="L91" t="str">
        <x:v>Apartment</x:v>
      </x:c>
      <x:c r="M91" t="n">
        <x:v>4</x:v>
      </x:c>
      <x:c r="N91" s="16" t="n">
        <x:v>105</x:v>
      </x:c>
      <x:c r="O91" t="n">
        <x:v>0</x:v>
      </x:c>
      <x:c r="P91" t="n">
        <x:v>18</x:v>
      </x:c>
      <x:c r="Q91" s="18" t="n">
        <x:v>8030000</x:v>
      </x:c>
      <x:c r="R91" s="18" t="n">
        <x:f>IFERROR(Q91/N91,"")</x:f>
        <x:v>76476.19047619047</x:v>
      </x:c>
      <x:c r="S91" t="n">
        <x:v>2027</x:v>
      </x:c>
      <x:c r="T91" t="n">
        <x:v>0</x:v>
      </x:c>
      <x:c r="U91" t="str">
        <x:v>New</x:v>
      </x:c>
      <x:c r="V91" s="16" t="n">
        <x:v>22.9</x:v>
      </x:c>
      <x:c r="W91" t="str">
        <x:v>North</x:v>
      </x:c>
      <x:c r="X91" t="n">
        <x:v>0</x:v>
      </x:c>
      <x:c r="Y91" s="16" t="n">
        <x:v>6.5</x:v>
      </x:c>
      <x:c r="Z91" s="1" t="b">
        <x:v>1</x:v>
      </x:c>
      <x:c r="AA91" t="str">
        <x:v>North, West</x:v>
      </x:c>
      <x:c r="AB91" s="16" t="n">
        <x:v>0</x:v>
      </x:c>
      <x:c r="AC91" s="16" t="n">
        <x:v>0</x:v>
      </x:c>
      <x:c r="AD91" s="1" t="b">
        <x:v>0</x:v>
      </x:c>
    </x:row>
    <x:row r="92">
      <x:c r="A92" t="str">
        <x:v>SYN-0091</x:v>
      </x:c>
      <x:c r="B92" s="12" t="n">
        <x:v>46236</x:v>
      </x:c>
      <x:c r="C92" t="str">
        <x:v>Synthetic Yad2-like Listing</x:v>
      </x:c>
      <x:c r="D92" t="str">
        <x:v>https://example.com/listings/SYN-0091</x:v>
      </x:c>
      <x:c r="E92" t="str">
        <x:v>Second Hand</x:v>
      </x:c>
      <x:c r="F92" t="str"/>
      <x:c r="G92" t="str"/>
      <x:c r="H92" t="str">
        <x:v>Mosenzon 50, Tel Aviv</x:v>
      </x:c>
      <x:c r="I92" t="str">
        <x:v>Tel Aviv</x:v>
      </x:c>
      <x:c r="J92" t="str">
        <x:v>Kikar HaMedina / New North</x:v>
      </x:c>
      <x:c r="K92" s="14" t="n">
        <x:v>0.83</x:v>
      </x:c>
      <x:c r="L92" t="str">
        <x:v>Apartment</x:v>
      </x:c>
      <x:c r="M92" t="n">
        <x:v>4</x:v>
      </x:c>
      <x:c r="N92" s="16" t="n">
        <x:v>106.8</x:v>
      </x:c>
      <x:c r="O92" t="n">
        <x:v>8</x:v>
      </x:c>
      <x:c r="P92" t="n">
        <x:v>16</x:v>
      </x:c>
      <x:c r="Q92" s="18" t="n">
        <x:v>7730000</x:v>
      </x:c>
      <x:c r="R92" s="18" t="n">
        <x:f>IFERROR(Q92/N92,"")</x:f>
        <x:v>72378.27715355805</x:v>
      </x:c>
      <x:c r="S92" t="n">
        <x:v>2005</x:v>
      </x:c>
      <x:c r="T92" t="n">
        <x:v>21</x:v>
      </x:c>
      <x:c r="U92" t="str">
        <x:v>Renovated</x:v>
      </x:c>
      <x:c r="V92" s="16" t="n">
        <x:v>0</x:v>
      </x:c>
      <x:c r="W92" t="str"/>
      <x:c r="X92" t="n">
        <x:v>1</x:v>
      </x:c>
      <x:c r="Y92" s="16" t="n">
        <x:v>0</x:v>
      </x:c>
      <x:c r="Z92" s="1" t="b">
        <x:v>1</x:v>
      </x:c>
      <x:c r="AA92" t="str">
        <x:v>South-East</x:v>
      </x:c>
      <x:c r="AB92" s="16" t="n">
        <x:v>0</x:v>
      </x:c>
      <x:c r="AC92" s="16" t="n">
        <x:v>0</x:v>
      </x:c>
      <x:c r="AD92" s="1" t="b">
        <x:v>0</x:v>
      </x:c>
    </x:row>
    <x:row r="93">
      <x:c r="A93" t="str">
        <x:v>SYN-0092</x:v>
      </x:c>
      <x:c r="B93" s="12" t="n">
        <x:v>46229</x:v>
      </x:c>
      <x:c r="C93" t="str">
        <x:v>Synthetic New-Project Listing</x:v>
      </x:c>
      <x:c r="D93" t="str">
        <x:v>https://example.com/listings/SYN-0092</x:v>
      </x:c>
      <x:c r="E93" t="str">
        <x:v>New Project</x:v>
      </x:c>
      <x:c r="F93" t="str">
        <x:v>Medina Boutique</x:v>
      </x:c>
      <x:c r="G93" t="str">
        <x:v>Sample Development E</x:v>
      </x:c>
      <x:c r="H93" t="str">
        <x:v>Helsinki 67, Tel Aviv</x:v>
      </x:c>
      <x:c r="I93" t="str">
        <x:v>Tel Aviv</x:v>
      </x:c>
      <x:c r="J93" t="str">
        <x:v>Kikar HaMedina / New North</x:v>
      </x:c>
      <x:c r="K93" s="14" t="n">
        <x:v>0.05</x:v>
      </x:c>
      <x:c r="L93" t="str">
        <x:v>Apartment</x:v>
      </x:c>
      <x:c r="M93" t="n">
        <x:v>3</x:v>
      </x:c>
      <x:c r="N93" s="16" t="n">
        <x:v>67.2</x:v>
      </x:c>
      <x:c r="O93" t="n">
        <x:v>2</x:v>
      </x:c>
      <x:c r="P93" t="n">
        <x:v>11</x:v>
      </x:c>
      <x:c r="Q93" s="18" t="n">
        <x:v>5470000</x:v>
      </x:c>
      <x:c r="R93" s="18" t="n">
        <x:f>IFERROR(Q93/N93,"")</x:f>
        <x:v>81398.80952380953</x:v>
      </x:c>
      <x:c r="S93" t="n">
        <x:v>2027</x:v>
      </x:c>
      <x:c r="T93" t="n">
        <x:v>0</x:v>
      </x:c>
      <x:c r="U93" t="str">
        <x:v>New</x:v>
      </x:c>
      <x:c r="V93" s="16" t="n">
        <x:v>12.2</x:v>
      </x:c>
      <x:c r="W93" t="str">
        <x:v>West</x:v>
      </x:c>
      <x:c r="X93" t="n">
        <x:v>1</x:v>
      </x:c>
      <x:c r="Y93" s="16" t="n">
        <x:v>5.3</x:v>
      </x:c>
      <x:c r="Z93" s="1" t="b">
        <x:v>1</x:v>
      </x:c>
      <x:c r="AA93" t="str">
        <x:v>West</x:v>
      </x:c>
      <x:c r="AB93" s="16" t="n">
        <x:v>0</x:v>
      </x:c>
      <x:c r="AC93" s="16" t="n">
        <x:v>0</x:v>
      </x:c>
      <x:c r="AD93" s="1" t="b">
        <x:v>0</x:v>
      </x:c>
    </x:row>
    <x:row r="94">
      <x:c r="A94" t="str">
        <x:v>SYN-0093</x:v>
      </x:c>
      <x:c r="B94" s="12" t="n">
        <x:v>46254</x:v>
      </x:c>
      <x:c r="C94" t="str">
        <x:v>Synthetic Yad2-like Listing</x:v>
      </x:c>
      <x:c r="D94" t="str">
        <x:v>https://example.com/listings/SYN-0093</x:v>
      </x:c>
      <x:c r="E94" t="str">
        <x:v>Second Hand</x:v>
      </x:c>
      <x:c r="F94" t="str"/>
      <x:c r="G94" t="str"/>
      <x:c r="H94" t="str">
        <x:v>Klay 171, Tel Aviv</x:v>
      </x:c>
      <x:c r="I94" t="str">
        <x:v>Tel Aviv</x:v>
      </x:c>
      <x:c r="J94" t="str">
        <x:v>Kikar HaMedina / New North</x:v>
      </x:c>
      <x:c r="K94" s="14" t="n">
        <x:v>0.71</x:v>
      </x:c>
      <x:c r="L94" t="str">
        <x:v>Apartment</x:v>
      </x:c>
      <x:c r="M94" t="n">
        <x:v>5</x:v>
      </x:c>
      <x:c r="N94" s="16" t="n">
        <x:v>135.1</x:v>
      </x:c>
      <x:c r="O94" t="n">
        <x:v>12</x:v>
      </x:c>
      <x:c r="P94" t="n">
        <x:v>15</x:v>
      </x:c>
      <x:c r="Q94" s="18" t="n">
        <x:v>10240000</x:v>
      </x:c>
      <x:c r="R94" s="18" t="n">
        <x:f>IFERROR(Q94/N94,"")</x:f>
        <x:v>75795.70688378978</x:v>
      </x:c>
      <x:c r="S94" t="n">
        <x:v>1998</x:v>
      </x:c>
      <x:c r="T94" t="n">
        <x:v>28</x:v>
      </x:c>
      <x:c r="U94" t="str">
        <x:v>Good</x:v>
      </x:c>
      <x:c r="V94" s="16" t="n">
        <x:v>30.6</x:v>
      </x:c>
      <x:c r="W94" t="str">
        <x:v>North-West</x:v>
      </x:c>
      <x:c r="X94" t="n">
        <x:v>2</x:v>
      </x:c>
      <x:c r="Y94" s="16" t="n">
        <x:v>4.1</x:v>
      </x:c>
      <x:c r="Z94" s="1" t="b">
        <x:v>1</x:v>
      </x:c>
      <x:c r="AA94" t="str">
        <x:v>North-West, West</x:v>
      </x:c>
      <x:c r="AB94" s="16" t="n">
        <x:v>0</x:v>
      </x:c>
      <x:c r="AC94" s="16" t="n">
        <x:v>0</x:v>
      </x:c>
      <x:c r="AD94" s="1" t="b">
        <x:v>0</x:v>
      </x:c>
    </x:row>
    <x:row r="95">
      <x:c r="A95" t="str">
        <x:v>SYN-0094</x:v>
      </x:c>
      <x:c r="B95" s="12" t="n">
        <x:v>46233</x:v>
      </x:c>
      <x:c r="C95" t="str">
        <x:v>Synthetic New-Project Listing</x:v>
      </x:c>
      <x:c r="D95" t="str">
        <x:v>https://example.com/listings/SYN-0094</x:v>
      </x:c>
      <x:c r="E95" t="str">
        <x:v>New Project</x:v>
      </x:c>
      <x:c r="F95" t="str">
        <x:v>North TLV Living</x:v>
      </x:c>
      <x:c r="G95" t="str">
        <x:v>Sample Development D</x:v>
      </x:c>
      <x:c r="H95" t="str">
        <x:v>Weizmann 175, Tel Aviv</x:v>
      </x:c>
      <x:c r="I95" t="str">
        <x:v>Tel Aviv</x:v>
      </x:c>
      <x:c r="J95" t="str">
        <x:v>Kikar HaMedina / New North</x:v>
      </x:c>
      <x:c r="K95" s="14" t="n">
        <x:v>0.18</x:v>
      </x:c>
      <x:c r="L95" t="str">
        <x:v>Apartment</x:v>
      </x:c>
      <x:c r="M95" t="n">
        <x:v>3</x:v>
      </x:c>
      <x:c r="N95" s="16" t="n">
        <x:v>81.2</x:v>
      </x:c>
      <x:c r="O95" t="n">
        <x:v>1</x:v>
      </x:c>
      <x:c r="P95" t="n">
        <x:v>18</x:v>
      </x:c>
      <x:c r="Q95" s="18" t="n">
        <x:v>6630000</x:v>
      </x:c>
      <x:c r="R95" s="18" t="n">
        <x:f>IFERROR(Q95/N95,"")</x:f>
        <x:v>81650.24630541871</x:v>
      </x:c>
      <x:c r="S95" t="n">
        <x:v>2027</x:v>
      </x:c>
      <x:c r="T95" t="n">
        <x:v>0</x:v>
      </x:c>
      <x:c r="U95" t="str">
        <x:v>New</x:v>
      </x:c>
      <x:c r="V95" s="16" t="n">
        <x:v>16.8</x:v>
      </x:c>
      <x:c r="W95" t="str">
        <x:v>West</x:v>
      </x:c>
      <x:c r="X95" t="n">
        <x:v>1</x:v>
      </x:c>
      <x:c r="Y95" s="16" t="n">
        <x:v>5.3</x:v>
      </x:c>
      <x:c r="Z95" s="1" t="b">
        <x:v>1</x:v>
      </x:c>
      <x:c r="AA95" t="str">
        <x:v>West, South</x:v>
      </x:c>
      <x:c r="AB95" s="16" t="n">
        <x:v>0</x:v>
      </x:c>
      <x:c r="AC95" s="16" t="n">
        <x:v>0</x:v>
      </x:c>
      <x:c r="AD95" s="1" t="b">
        <x:v>0</x:v>
      </x:c>
    </x:row>
    <x:row r="96">
      <x:c r="A96" t="str">
        <x:v>SYN-0095</x:v>
      </x:c>
      <x:c r="B96" s="12" t="n">
        <x:v>46230</x:v>
      </x:c>
      <x:c r="C96" t="str">
        <x:v>Synthetic New-Project Listing</x:v>
      </x:c>
      <x:c r="D96" t="str">
        <x:v>https://example.com/listings/SYN-0095</x:v>
      </x:c>
      <x:c r="E96" t="str">
        <x:v>New Project</x:v>
      </x:c>
      <x:c r="F96" t="str">
        <x:v>Kikar Residence</x:v>
      </x:c>
      <x:c r="G96" t="str">
        <x:v>Sample Development A</x:v>
      </x:c>
      <x:c r="H96" t="str">
        <x:v>Helsinki 139, Tel Aviv</x:v>
      </x:c>
      <x:c r="I96" t="str">
        <x:v>Tel Aviv</x:v>
      </x:c>
      <x:c r="J96" t="str">
        <x:v>Kikar HaMedina / New North</x:v>
      </x:c>
      <x:c r="K96" s="14" t="n">
        <x:v>0.05</x:v>
      </x:c>
      <x:c r="L96" t="str">
        <x:v>Apartment</x:v>
      </x:c>
      <x:c r="M96" t="n">
        <x:v>3</x:v>
      </x:c>
      <x:c r="N96" s="16" t="n">
        <x:v>78</x:v>
      </x:c>
      <x:c r="O96" t="n">
        <x:v>8</x:v>
      </x:c>
      <x:c r="P96" t="n">
        <x:v>16</x:v>
      </x:c>
      <x:c r="Q96" s="18" t="n">
        <x:v>6200000</x:v>
      </x:c>
      <x:c r="R96" s="18" t="n">
        <x:f>IFERROR(Q96/N96,"")</x:f>
        <x:v>79487.17948717948</x:v>
      </x:c>
      <x:c r="S96" t="n">
        <x:v>2027</x:v>
      </x:c>
      <x:c r="T96" t="n">
        <x:v>0</x:v>
      </x:c>
      <x:c r="U96" t="str">
        <x:v>New</x:v>
      </x:c>
      <x:c r="V96" s="16" t="n">
        <x:v>8.3</x:v>
      </x:c>
      <x:c r="W96" t="str">
        <x:v>North-East</x:v>
      </x:c>
      <x:c r="X96" t="n">
        <x:v>1</x:v>
      </x:c>
      <x:c r="Y96" s="16" t="n">
        <x:v>0</x:v>
      </x:c>
      <x:c r="Z96" s="1" t="b">
        <x:v>1</x:v>
      </x:c>
      <x:c r="AA96" t="str">
        <x:v>North-East, South</x:v>
      </x:c>
      <x:c r="AB96" s="16" t="n">
        <x:v>0</x:v>
      </x:c>
      <x:c r="AC96" s="16" t="n">
        <x:v>0</x:v>
      </x:c>
      <x:c r="AD96" s="1" t="b">
        <x:v>0</x:v>
      </x:c>
    </x:row>
    <x:row r="97">
      <x:c r="A97" t="str">
        <x:v>SYN-0096</x:v>
      </x:c>
      <x:c r="B97" s="12" t="n">
        <x:v>46250</x:v>
      </x:c>
      <x:c r="C97" t="str">
        <x:v>Synthetic New-Project Listing</x:v>
      </x:c>
      <x:c r="D97" t="str">
        <x:v>https://example.com/listings/SYN-0096</x:v>
      </x:c>
      <x:c r="E97" t="str">
        <x:v>New Project</x:v>
      </x:c>
      <x:c r="F97" t="str">
        <x:v>Kikar Residence</x:v>
      </x:c>
      <x:c r="G97" t="str">
        <x:v>Sample Development A</x:v>
      </x:c>
      <x:c r="H97" t="str">
        <x:v>Klay 35, Tel Aviv</x:v>
      </x:c>
      <x:c r="I97" t="str">
        <x:v>Tel Aviv</x:v>
      </x:c>
      <x:c r="J97" t="str">
        <x:v>Kikar HaMedina / New North</x:v>
      </x:c>
      <x:c r="K97" s="14" t="n">
        <x:v>0.66</x:v>
      </x:c>
      <x:c r="L97" t="str">
        <x:v>Apartment</x:v>
      </x:c>
      <x:c r="M97" t="n">
        <x:v>2</x:v>
      </x:c>
      <x:c r="N97" s="16" t="n">
        <x:v>55</x:v>
      </x:c>
      <x:c r="O97" t="n">
        <x:v>11</x:v>
      </x:c>
      <x:c r="P97" t="n">
        <x:v>17</x:v>
      </x:c>
      <x:c r="Q97" s="18" t="n">
        <x:v>4850000</x:v>
      </x:c>
      <x:c r="R97" s="18" t="n">
        <x:f>IFERROR(Q97/N97,"")</x:f>
        <x:v>88181.81818181818</x:v>
      </x:c>
      <x:c r="S97" t="n">
        <x:v>2026</x:v>
      </x:c>
      <x:c r="T97" t="n">
        <x:v>0</x:v>
      </x:c>
      <x:c r="U97" t="str">
        <x:v>New</x:v>
      </x:c>
      <x:c r="V97" s="16" t="n">
        <x:v>22.3</x:v>
      </x:c>
      <x:c r="W97" t="str">
        <x:v>South-West</x:v>
      </x:c>
      <x:c r="X97" t="n">
        <x:v>1</x:v>
      </x:c>
      <x:c r="Y97" s="16" t="n">
        <x:v>0</x:v>
      </x:c>
      <x:c r="Z97" s="1" t="b">
        <x:v>1</x:v>
      </x:c>
      <x:c r="AA97" t="str">
        <x:v>South-West, North</x:v>
      </x:c>
      <x:c r="AB97" s="16" t="n">
        <x:v>0</x:v>
      </x:c>
      <x:c r="AC97" s="16" t="n">
        <x:v>0</x:v>
      </x:c>
      <x:c r="AD97" s="1" t="b">
        <x:v>0</x:v>
      </x:c>
    </x:row>
    <x:row r="98">
      <x:c r="A98" t="str">
        <x:v>SYN-0097</x:v>
      </x:c>
      <x:c r="B98" s="12" t="n">
        <x:v>46247</x:v>
      </x:c>
      <x:c r="C98" t="str">
        <x:v>Synthetic Yad2-like Listing</x:v>
      </x:c>
      <x:c r="D98" t="str">
        <x:v>https://example.com/listings/SYN-0097</x:v>
      </x:c>
      <x:c r="E98" t="str">
        <x:v>Second Hand</x:v>
      </x:c>
      <x:c r="F98" t="str"/>
      <x:c r="G98" t="str"/>
      <x:c r="H98" t="str">
        <x:v>Biltmore 5, Tel Aviv</x:v>
      </x:c>
      <x:c r="I98" t="str">
        <x:v>Tel Aviv</x:v>
      </x:c>
      <x:c r="J98" t="str">
        <x:v>Kikar HaMedina / New North</x:v>
      </x:c>
      <x:c r="K98" s="14" t="n">
        <x:v>0.76</x:v>
      </x:c>
      <x:c r="L98" t="str">
        <x:v>Apartment</x:v>
      </x:c>
      <x:c r="M98" t="n">
        <x:v>5</x:v>
      </x:c>
      <x:c r="N98" s="16" t="n">
        <x:v>131.7</x:v>
      </x:c>
      <x:c r="O98" t="n">
        <x:v>4</x:v>
      </x:c>
      <x:c r="P98" t="n">
        <x:v>12</x:v>
      </x:c>
      <x:c r="Q98" s="18" t="n">
        <x:v>9320000</x:v>
      </x:c>
      <x:c r="R98" s="18" t="n">
        <x:f>IFERROR(Q98/N98,"")</x:f>
        <x:v>70766.89445709948</x:v>
      </x:c>
      <x:c r="S98" t="n">
        <x:v>1967</x:v>
      </x:c>
      <x:c r="T98" t="n">
        <x:v>59</x:v>
      </x:c>
      <x:c r="U98" t="str">
        <x:v>Renovated</x:v>
      </x:c>
      <x:c r="V98" s="16" t="n">
        <x:v>20.8</x:v>
      </x:c>
      <x:c r="W98" t="str">
        <x:v>West</x:v>
      </x:c>
      <x:c r="X98" t="n">
        <x:v>2</x:v>
      </x:c>
      <x:c r="Y98" s="16" t="n">
        <x:v>9.6</x:v>
      </x:c>
      <x:c r="Z98" s="1" t="b">
        <x:v>1</x:v>
      </x:c>
      <x:c r="AA98" t="str">
        <x:v>West, West</x:v>
      </x:c>
      <x:c r="AB98" s="16" t="n">
        <x:v>0</x:v>
      </x:c>
      <x:c r="AC98" s="16" t="n">
        <x:v>0</x:v>
      </x:c>
      <x:c r="AD98" s="1" t="b">
        <x:v>0</x:v>
      </x:c>
    </x:row>
    <x:row r="99">
      <x:c r="A99" t="str">
        <x:v>SYN-0098</x:v>
      </x:c>
      <x:c r="B99" s="12" t="n">
        <x:v>46213</x:v>
      </x:c>
      <x:c r="C99" t="str">
        <x:v>Synthetic Yad2-like Listing</x:v>
      </x:c>
      <x:c r="D99" t="str">
        <x:v>https://example.com/listings/SYN-0098</x:v>
      </x:c>
      <x:c r="E99" t="str">
        <x:v>Second Hand</x:v>
      </x:c>
      <x:c r="F99" t="str"/>
      <x:c r="G99" t="str"/>
      <x:c r="H99" t="str">
        <x:v>Mosenzon 148, Tel Aviv</x:v>
      </x:c>
      <x:c r="I99" t="str">
        <x:v>Tel Aviv</x:v>
      </x:c>
      <x:c r="J99" t="str">
        <x:v>Kikar HaMedina / New North</x:v>
      </x:c>
      <x:c r="K99" s="14" t="n">
        <x:v>0.68</x:v>
      </x:c>
      <x:c r="L99" t="str">
        <x:v>Apartment</x:v>
      </x:c>
      <x:c r="M99" t="n">
        <x:v>2</x:v>
      </x:c>
      <x:c r="N99" s="16" t="n">
        <x:v>56.4</x:v>
      </x:c>
      <x:c r="O99" t="n">
        <x:v>6</x:v>
      </x:c>
      <x:c r="P99" t="n">
        <x:v>14</x:v>
      </x:c>
      <x:c r="Q99" s="18" t="n">
        <x:v>4420000</x:v>
      </x:c>
      <x:c r="R99" s="18" t="n">
        <x:f>IFERROR(Q99/N99,"")</x:f>
        <x:v>78368.79432624114</x:v>
      </x:c>
      <x:c r="S99" t="n">
        <x:v>2018</x:v>
      </x:c>
      <x:c r="T99" t="n">
        <x:v>8</x:v>
      </x:c>
      <x:c r="U99" t="str">
        <x:v>Good</x:v>
      </x:c>
      <x:c r="V99" s="16" t="n">
        <x:v>21.8</x:v>
      </x:c>
      <x:c r="W99" t="str">
        <x:v>North</x:v>
      </x:c>
      <x:c r="X99" t="n">
        <x:v>1</x:v>
      </x:c>
      <x:c r="Y99" s="16" t="n">
        <x:v>0</x:v>
      </x:c>
      <x:c r="Z99" s="1" t="b">
        <x:v>1</x:v>
      </x:c>
      <x:c r="AA99" t="str">
        <x:v>North, North</x:v>
      </x:c>
      <x:c r="AB99" s="16" t="n">
        <x:v>0</x:v>
      </x:c>
      <x:c r="AC99" s="16" t="n">
        <x:v>0</x:v>
      </x:c>
      <x:c r="AD99" s="1" t="b">
        <x:v>0</x:v>
      </x:c>
    </x:row>
    <x:row r="100">
      <x:c r="A100" t="str">
        <x:v>SYN-0099</x:v>
      </x:c>
      <x:c r="B100" s="12" t="n">
        <x:v>46219</x:v>
      </x:c>
      <x:c r="C100" t="str">
        <x:v>Synthetic Yad2-like Listing</x:v>
      </x:c>
      <x:c r="D100" t="str">
        <x:v>https://example.com/listings/SYN-0099</x:v>
      </x:c>
      <x:c r="E100" t="str">
        <x:v>Second Hand</x:v>
      </x:c>
      <x:c r="F100" t="str"/>
      <x:c r="G100" t="str"/>
      <x:c r="H100" t="str">
        <x:v>Biltmore 107, Tel Aviv</x:v>
      </x:c>
      <x:c r="I100" t="str">
        <x:v>Tel Aviv</x:v>
      </x:c>
      <x:c r="J100" t="str">
        <x:v>Kikar HaMedina / New North</x:v>
      </x:c>
      <x:c r="K100" s="14" t="n">
        <x:v>0.92</x:v>
      </x:c>
      <x:c r="L100" t="str">
        <x:v>Apartment</x:v>
      </x:c>
      <x:c r="M100" t="n">
        <x:v>4</x:v>
      </x:c>
      <x:c r="N100" s="16" t="n">
        <x:v>96.3</x:v>
      </x:c>
      <x:c r="O100" t="n">
        <x:v>4</x:v>
      </x:c>
      <x:c r="P100" t="n">
        <x:v>5</x:v>
      </x:c>
      <x:c r="Q100" s="18" t="n">
        <x:v>7330000</x:v>
      </x:c>
      <x:c r="R100" s="18" t="n">
        <x:f>IFERROR(Q100/N100,"")</x:f>
        <x:v>76116.30321910697</x:v>
      </x:c>
      <x:c r="S100" t="n">
        <x:v>2022</x:v>
      </x:c>
      <x:c r="T100" t="n">
        <x:v>4</x:v>
      </x:c>
      <x:c r="U100" t="str">
        <x:v>Renovated</x:v>
      </x:c>
      <x:c r="V100" s="16" t="n">
        <x:v>19.8</x:v>
      </x:c>
      <x:c r="W100" t="str">
        <x:v>East</x:v>
      </x:c>
      <x:c r="X100" t="n">
        <x:v>1</x:v>
      </x:c>
      <x:c r="Y100" s="16" t="n">
        <x:v>0</x:v>
      </x:c>
      <x:c r="Z100" s="1" t="b">
        <x:v>1</x:v>
      </x:c>
      <x:c r="AA100" t="str">
        <x:v>East, East</x:v>
      </x:c>
      <x:c r="AB100" s="16" t="n">
        <x:v>0</x:v>
      </x:c>
      <x:c r="AC100" s="16" t="n">
        <x:v>0</x:v>
      </x:c>
      <x:c r="AD100" s="1" t="b">
        <x:v>1</x:v>
      </x:c>
    </x:row>
    <x:row r="101">
      <x:c r="A101" t="str">
        <x:v>SYN-0100</x:v>
      </x:c>
      <x:c r="B101" s="12" t="n">
        <x:v>46242</x:v>
      </x:c>
      <x:c r="C101" t="str">
        <x:v>Synthetic Yad2-like Listing</x:v>
      </x:c>
      <x:c r="D101" t="str">
        <x:v>https://example.com/listings/SYN-0100</x:v>
      </x:c>
      <x:c r="E101" t="str">
        <x:v>Second Hand</x:v>
      </x:c>
      <x:c r="F101" t="str"/>
      <x:c r="G101" t="str"/>
      <x:c r="H101" t="str">
        <x:v>Weizmann 138, Tel Aviv</x:v>
      </x:c>
      <x:c r="I101" t="str">
        <x:v>Tel Aviv</x:v>
      </x:c>
      <x:c r="J101" t="str">
        <x:v>Kikar HaMedina / New North</x:v>
      </x:c>
      <x:c r="K101" s="14" t="n">
        <x:v>0.18</x:v>
      </x:c>
      <x:c r="L101" t="str">
        <x:v>Apartment</x:v>
      </x:c>
      <x:c r="M101" t="n">
        <x:v>3</x:v>
      </x:c>
      <x:c r="N101" s="16" t="n">
        <x:v>81.3</x:v>
      </x:c>
      <x:c r="O101" t="n">
        <x:v>12</x:v>
      </x:c>
      <x:c r="P101" t="n">
        <x:v>16</x:v>
      </x:c>
      <x:c r="Q101" s="18" t="n">
        <x:v>6160000</x:v>
      </x:c>
      <x:c r="R101" s="18" t="n">
        <x:f>IFERROR(Q101/N101,"")</x:f>
        <x:v>75768.75768757687</x:v>
      </x:c>
      <x:c r="S101" t="n">
        <x:v>1988</x:v>
      </x:c>
      <x:c r="T101" t="n">
        <x:v>38</x:v>
      </x:c>
      <x:c r="U101" t="str">
        <x:v>Good</x:v>
      </x:c>
      <x:c r="V101" s="16" t="n">
        <x:v>23.5</x:v>
      </x:c>
      <x:c r="W101" t="str">
        <x:v>East</x:v>
      </x:c>
      <x:c r="X101" t="n">
        <x:v>1</x:v>
      </x:c>
      <x:c r="Y101" s="16" t="n">
        <x:v>5.3</x:v>
      </x:c>
      <x:c r="Z101" s="1" t="b">
        <x:v>1</x:v>
      </x:c>
      <x:c r="AA101" t="str">
        <x:v>East, West</x:v>
      </x:c>
      <x:c r="AB101" s="16" t="n">
        <x:v>0</x:v>
      </x:c>
      <x:c r="AC101" s="16" t="n">
        <x:v>0</x:v>
      </x:c>
      <x:c r="AD101" s="1" t="b">
        <x:v>0</x:v>
      </x:c>
    </x:row>
    <x:row r="102">
      <x:c r="A102" t="str">
        <x:v>SYN-0101</x:v>
      </x:c>
      <x:c r="B102" s="12" t="n">
        <x:v>46245</x:v>
      </x:c>
      <x:c r="C102" t="str">
        <x:v>Synthetic New-Project Listing</x:v>
      </x:c>
      <x:c r="D102" t="str">
        <x:v>https://example.com/listings/SYN-0101</x:v>
      </x:c>
      <x:c r="E102" t="str">
        <x:v>New Project</x:v>
      </x:c>
      <x:c r="F102" t="str">
        <x:v>Kikar Residence</x:v>
      </x:c>
      <x:c r="G102" t="str">
        <x:v>Sample Development A</x:v>
      </x:c>
      <x:c r="H102" t="str">
        <x:v>Lissin 53, Tel Aviv</x:v>
      </x:c>
      <x:c r="I102" t="str">
        <x:v>Tel Aviv</x:v>
      </x:c>
      <x:c r="J102" t="str">
        <x:v>Kikar HaMedina / New North</x:v>
      </x:c>
      <x:c r="K102" s="14" t="n">
        <x:v>0.76</x:v>
      </x:c>
      <x:c r="L102" t="str">
        <x:v>Apartment</x:v>
      </x:c>
      <x:c r="M102" t="n">
        <x:v>2</x:v>
      </x:c>
      <x:c r="N102" s="16" t="n">
        <x:v>57.3</x:v>
      </x:c>
      <x:c r="O102" t="n">
        <x:v>9</x:v>
      </x:c>
      <x:c r="P102" t="n">
        <x:v>18</x:v>
      </x:c>
      <x:c r="Q102" s="18" t="n">
        <x:v>4720000</x:v>
      </x:c>
      <x:c r="R102" s="18" t="n">
        <x:f>IFERROR(Q102/N102,"")</x:f>
        <x:v>82373.47294938918</x:v>
      </x:c>
      <x:c r="S102" t="n">
        <x:v>2027</x:v>
      </x:c>
      <x:c r="T102" t="n">
        <x:v>0</x:v>
      </x:c>
      <x:c r="U102" t="str">
        <x:v>New</x:v>
      </x:c>
      <x:c r="V102" s="16" t="n">
        <x:v>22.5</x:v>
      </x:c>
      <x:c r="W102" t="str">
        <x:v>North-East</x:v>
      </x:c>
      <x:c r="X102" t="n">
        <x:v>0</x:v>
      </x:c>
      <x:c r="Y102" s="16" t="n">
        <x:v>9.6</x:v>
      </x:c>
      <x:c r="Z102" s="1" t="b">
        <x:v>1</x:v>
      </x:c>
      <x:c r="AA102" t="str">
        <x:v>North-East, South</x:v>
      </x:c>
      <x:c r="AB102" s="16" t="n">
        <x:v>0</x:v>
      </x:c>
      <x:c r="AC102" s="16" t="n">
        <x:v>0</x:v>
      </x:c>
      <x:c r="AD102" s="1" t="b">
        <x:v>0</x:v>
      </x:c>
    </x:row>
    <x:row r="103">
      <x:c r="A103" t="str">
        <x:v>SYN-0102</x:v>
      </x:c>
      <x:c r="B103" s="12" t="n">
        <x:v>46241</x:v>
      </x:c>
      <x:c r="C103" t="str">
        <x:v>Synthetic New-Project Listing</x:v>
      </x:c>
      <x:c r="D103" t="str">
        <x:v>https://example.com/listings/SYN-0102</x:v>
      </x:c>
      <x:c r="E103" t="str">
        <x:v>New Project</x:v>
      </x:c>
      <x:c r="F103" t="str">
        <x:v>Helsinki Gardens</x:v>
      </x:c>
      <x:c r="G103" t="str">
        <x:v>Sample Development C</x:v>
      </x:c>
      <x:c r="H103" t="str">
        <x:v>Mosenzon 106, Tel Aviv</x:v>
      </x:c>
      <x:c r="I103" t="str">
        <x:v>Tel Aviv</x:v>
      </x:c>
      <x:c r="J103" t="str">
        <x:v>Kikar HaMedina / New North</x:v>
      </x:c>
      <x:c r="K103" s="14" t="n">
        <x:v>0.74</x:v>
      </x:c>
      <x:c r="L103" t="str">
        <x:v>Apartment</x:v>
      </x:c>
      <x:c r="M103" t="n">
        <x:v>3</x:v>
      </x:c>
      <x:c r="N103" s="16" t="n">
        <x:v>76.8</x:v>
      </x:c>
      <x:c r="O103" t="n">
        <x:v>7</x:v>
      </x:c>
      <x:c r="P103" t="n">
        <x:v>15</x:v>
      </x:c>
      <x:c r="Q103" s="18" t="n">
        <x:v>5770000</x:v>
      </x:c>
      <x:c r="R103" s="18" t="n">
        <x:f>IFERROR(Q103/N103,"")</x:f>
        <x:v>75130.20833333334</x:v>
      </x:c>
      <x:c r="S103" t="n">
        <x:v>2025</x:v>
      </x:c>
      <x:c r="T103" t="n">
        <x:v>1</x:v>
      </x:c>
      <x:c r="U103" t="str">
        <x:v>New</x:v>
      </x:c>
      <x:c r="V103" s="16" t="n">
        <x:v>0</x:v>
      </x:c>
      <x:c r="W103" t="str"/>
      <x:c r="X103" t="n">
        <x:v>1</x:v>
      </x:c>
      <x:c r="Y103" s="16" t="n">
        <x:v>0</x:v>
      </x:c>
      <x:c r="Z103" s="1" t="b">
        <x:v>1</x:v>
      </x:c>
      <x:c r="AA103" t="str">
        <x:v>North-West</x:v>
      </x:c>
      <x:c r="AB103" s="16" t="n">
        <x:v>0</x:v>
      </x:c>
      <x:c r="AC103" s="16" t="n">
        <x:v>0</x:v>
      </x:c>
      <x:c r="AD103" s="1" t="b">
        <x:v>0</x:v>
      </x:c>
    </x:row>
    <x:row r="104">
      <x:c r="A104" t="str">
        <x:v>SYN-0103</x:v>
      </x:c>
      <x:c r="B104" s="12" t="n">
        <x:v>46238</x:v>
      </x:c>
      <x:c r="C104" t="str">
        <x:v>Synthetic Yad2-like Listing</x:v>
      </x:c>
      <x:c r="D104" t="str">
        <x:v>https://example.com/listings/SYN-0103</x:v>
      </x:c>
      <x:c r="E104" t="str">
        <x:v>Second Hand</x:v>
      </x:c>
      <x:c r="F104" t="str"/>
      <x:c r="G104" t="str"/>
      <x:c r="H104" t="str">
        <x:v>Lissin 126, Tel Aviv</x:v>
      </x:c>
      <x:c r="I104" t="str">
        <x:v>Tel Aviv</x:v>
      </x:c>
      <x:c r="J104" t="str">
        <x:v>Kikar HaMedina / New North</x:v>
      </x:c>
      <x:c r="K104" s="14" t="n">
        <x:v>0.76</x:v>
      </x:c>
      <x:c r="L104" t="str">
        <x:v>Apartment</x:v>
      </x:c>
      <x:c r="M104" t="n">
        <x:v>3</x:v>
      </x:c>
      <x:c r="N104" s="16" t="n">
        <x:v>68.5</x:v>
      </x:c>
      <x:c r="O104" t="n">
        <x:v>5</x:v>
      </x:c>
      <x:c r="P104" t="n">
        <x:v>9</x:v>
      </x:c>
      <x:c r="Q104" s="18" t="n">
        <x:v>4390000</x:v>
      </x:c>
      <x:c r="R104" s="18" t="n">
        <x:f>IFERROR(Q104/N104,"")</x:f>
        <x:v>64087.59124087591</x:v>
      </x:c>
      <x:c r="S104" t="n">
        <x:v>1976</x:v>
      </x:c>
      <x:c r="T104" t="n">
        <x:v>50</x:v>
      </x:c>
      <x:c r="U104" t="str">
        <x:v>Good</x:v>
      </x:c>
      <x:c r="V104" s="16" t="n">
        <x:v>0</x:v>
      </x:c>
      <x:c r="W104" t="str"/>
      <x:c r="X104" t="n">
        <x:v>1</x:v>
      </x:c>
      <x:c r="Y104" s="16" t="n">
        <x:v>0</x:v>
      </x:c>
      <x:c r="Z104" s="1" t="b">
        <x:v>1</x:v>
      </x:c>
      <x:c r="AA104" t="str">
        <x:v>West</x:v>
      </x:c>
      <x:c r="AB104" s="16" t="n">
        <x:v>0</x:v>
      </x:c>
      <x:c r="AC104" s="16" t="n">
        <x:v>0</x:v>
      </x:c>
      <x:c r="AD104" s="1" t="b">
        <x:v>0</x:v>
      </x:c>
    </x:row>
    <x:row r="105">
      <x:c r="A105" t="str">
        <x:v>SYN-0104</x:v>
      </x:c>
      <x:c r="B105" s="12" t="n">
        <x:v>46234</x:v>
      </x:c>
      <x:c r="C105" t="str">
        <x:v>Synthetic Yad2-like Listing</x:v>
      </x:c>
      <x:c r="D105" t="str">
        <x:v>https://example.com/listings/SYN-0104</x:v>
      </x:c>
      <x:c r="E105" t="str">
        <x:v>Second Hand</x:v>
      </x:c>
      <x:c r="F105" t="str"/>
      <x:c r="G105" t="str"/>
      <x:c r="H105" t="str">
        <x:v>Jabotinsky 130, Tel Aviv</x:v>
      </x:c>
      <x:c r="I105" t="str">
        <x:v>Tel Aviv</x:v>
      </x:c>
      <x:c r="J105" t="str">
        <x:v>Kikar HaMedina / New North</x:v>
      </x:c>
      <x:c r="K105" s="14" t="n">
        <x:v>0.53</x:v>
      </x:c>
      <x:c r="L105" t="str">
        <x:v>Apartment</x:v>
      </x:c>
      <x:c r="M105" t="n">
        <x:v>5</x:v>
      </x:c>
      <x:c r="N105" s="16" t="n">
        <x:v>126.1</x:v>
      </x:c>
      <x:c r="O105" t="n">
        <x:v>10</x:v>
      </x:c>
      <x:c r="P105" t="n">
        <x:v>11</x:v>
      </x:c>
      <x:c r="Q105" s="18" t="n">
        <x:v>9440000</x:v>
      </x:c>
      <x:c r="R105" s="18" t="n">
        <x:f>IFERROR(Q105/N105,"")</x:f>
        <x:v>74861.22125297383</x:v>
      </x:c>
      <x:c r="S105" t="n">
        <x:v>2005</x:v>
      </x:c>
      <x:c r="T105" t="n">
        <x:v>21</x:v>
      </x:c>
      <x:c r="U105" t="str">
        <x:v>Renovated</x:v>
      </x:c>
      <x:c r="V105" s="16" t="n">
        <x:v>27.6</x:v>
      </x:c>
      <x:c r="W105" t="str">
        <x:v>North</x:v>
      </x:c>
      <x:c r="X105" t="n">
        <x:v>0</x:v>
      </x:c>
      <x:c r="Y105" s="16" t="n">
        <x:v>0</x:v>
      </x:c>
      <x:c r="Z105" s="1" t="b">
        <x:v>1</x:v>
      </x:c>
      <x:c r="AA105" t="str">
        <x:v>North, South</x:v>
      </x:c>
      <x:c r="AB105" s="16" t="n">
        <x:v>0</x:v>
      </x:c>
      <x:c r="AC105" s="16" t="n">
        <x:v>0</x:v>
      </x:c>
      <x:c r="AD105" s="1" t="b">
        <x:v>1</x:v>
      </x:c>
    </x:row>
    <x:row r="106">
      <x:c r="A106" t="str">
        <x:v>SYN-0105</x:v>
      </x:c>
      <x:c r="B106" s="12" t="n">
        <x:v>46254</x:v>
      </x:c>
      <x:c r="C106" t="str">
        <x:v>Synthetic Yad2-like Listing</x:v>
      </x:c>
      <x:c r="D106" t="str">
        <x:v>https://example.com/listings/SYN-0105</x:v>
      </x:c>
      <x:c r="E106" t="str">
        <x:v>Second Hand</x:v>
      </x:c>
      <x:c r="F106" t="str"/>
      <x:c r="G106" t="str"/>
      <x:c r="H106" t="str">
        <x:v>Pinkas 39, Tel Aviv</x:v>
      </x:c>
      <x:c r="I106" t="str">
        <x:v>Tel Aviv</x:v>
      </x:c>
      <x:c r="J106" t="str">
        <x:v>Kikar HaMedina / New North</x:v>
      </x:c>
      <x:c r="K106" s="14" t="n">
        <x:v>0.48</x:v>
      </x:c>
      <x:c r="L106" t="str">
        <x:v>Duplex</x:v>
      </x:c>
      <x:c r="M106" t="n">
        <x:v>2</x:v>
      </x:c>
      <x:c r="N106" s="16" t="n">
        <x:v>53.5</x:v>
      </x:c>
      <x:c r="O106" t="n">
        <x:v>6</x:v>
      </x:c>
      <x:c r="P106" t="n">
        <x:v>7</x:v>
      </x:c>
      <x:c r="Q106" s="18" t="n">
        <x:v>3860000</x:v>
      </x:c>
      <x:c r="R106" s="18" t="n">
        <x:f>IFERROR(Q106/N106,"")</x:f>
        <x:v>72149.53271028037</x:v>
      </x:c>
      <x:c r="S106" t="n">
        <x:v>1987</x:v>
      </x:c>
      <x:c r="T106" t="n">
        <x:v>39</x:v>
      </x:c>
      <x:c r="U106" t="str">
        <x:v>Good</x:v>
      </x:c>
      <x:c r="V106" s="16" t="n">
        <x:v>0</x:v>
      </x:c>
      <x:c r="W106" t="str"/>
      <x:c r="X106" t="n">
        <x:v>1</x:v>
      </x:c>
      <x:c r="Y106" s="16" t="n">
        <x:v>6.5</x:v>
      </x:c>
      <x:c r="Z106" s="1" t="b">
        <x:v>1</x:v>
      </x:c>
      <x:c r="AA106" t="str">
        <x:v>South-East</x:v>
      </x:c>
      <x:c r="AB106" s="16" t="n">
        <x:v>0</x:v>
      </x:c>
      <x:c r="AC106" s="16" t="n">
        <x:v>0</x:v>
      </x:c>
      <x:c r="AD106" s="1" t="b">
        <x:v>1</x:v>
      </x:c>
    </x:row>
    <x:row r="107">
      <x:c r="A107" t="str">
        <x:v>SYN-0106</x:v>
      </x:c>
      <x:c r="B107" s="12" t="n">
        <x:v>46231</x:v>
      </x:c>
      <x:c r="C107" t="str">
        <x:v>Synthetic New-Project Listing</x:v>
      </x:c>
      <x:c r="D107" t="str">
        <x:v>https://example.com/listings/SYN-0106</x:v>
      </x:c>
      <x:c r="E107" t="str">
        <x:v>New Project</x:v>
      </x:c>
      <x:c r="F107" t="str">
        <x:v>Kikar Residence</x:v>
      </x:c>
      <x:c r="G107" t="str">
        <x:v>Sample Development A</x:v>
      </x:c>
      <x:c r="H107" t="str">
        <x:v>Biltmore 98, Tel Aviv</x:v>
      </x:c>
      <x:c r="I107" t="str">
        <x:v>Tel Aviv</x:v>
      </x:c>
      <x:c r="J107" t="str">
        <x:v>Kikar HaMedina / New North</x:v>
      </x:c>
      <x:c r="K107" s="14" t="n">
        <x:v>0.92</x:v>
      </x:c>
      <x:c r="L107" t="str">
        <x:v>Apartment</x:v>
      </x:c>
      <x:c r="M107" t="n">
        <x:v>3</x:v>
      </x:c>
      <x:c r="N107" s="16" t="n">
        <x:v>74.3</x:v>
      </x:c>
      <x:c r="O107" t="n">
        <x:v>9</x:v>
      </x:c>
      <x:c r="P107" t="n">
        <x:v>13</x:v>
      </x:c>
      <x:c r="Q107" s="18" t="n">
        <x:v>5970000</x:v>
      </x:c>
      <x:c r="R107" s="18" t="n">
        <x:f>IFERROR(Q107/N107,"")</x:f>
        <x:v>80349.932705249</x:v>
      </x:c>
      <x:c r="S107" t="n">
        <x:v>2025</x:v>
      </x:c>
      <x:c r="T107" t="n">
        <x:v>1</x:v>
      </x:c>
      <x:c r="U107" t="str">
        <x:v>New</x:v>
      </x:c>
      <x:c r="V107" s="16" t="n">
        <x:v>18.9</x:v>
      </x:c>
      <x:c r="W107" t="str">
        <x:v>South</x:v>
      </x:c>
      <x:c r="X107" t="n">
        <x:v>1</x:v>
      </x:c>
      <x:c r="Y107" s="16" t="n">
        <x:v>0</x:v>
      </x:c>
      <x:c r="Z107" s="1" t="b">
        <x:v>1</x:v>
      </x:c>
      <x:c r="AA107" t="str">
        <x:v>South, East</x:v>
      </x:c>
      <x:c r="AB107" s="16" t="n">
        <x:v>0</x:v>
      </x:c>
      <x:c r="AC107" s="16" t="n">
        <x:v>0</x:v>
      </x:c>
      <x:c r="AD107" s="1" t="b">
        <x:v>0</x:v>
      </x:c>
    </x:row>
    <x:row r="108">
      <x:c r="A108" t="str">
        <x:v>SYN-0107</x:v>
      </x:c>
      <x:c r="B108" s="12" t="n">
        <x:v>46256</x:v>
      </x:c>
      <x:c r="C108" t="str">
        <x:v>Synthetic Yad2-like Listing</x:v>
      </x:c>
      <x:c r="D108" t="str">
        <x:v>https://example.com/listings/SYN-0107</x:v>
      </x:c>
      <x:c r="E108" t="str">
        <x:v>Second Hand</x:v>
      </x:c>
      <x:c r="F108" t="str"/>
      <x:c r="G108" t="str"/>
      <x:c r="H108" t="str">
        <x:v>Epstein 81, Tel Aviv</x:v>
      </x:c>
      <x:c r="I108" t="str">
        <x:v>Tel Aviv</x:v>
      </x:c>
      <x:c r="J108" t="str">
        <x:v>Kikar HaMedina / New North</x:v>
      </x:c>
      <x:c r="K108" s="14" t="n">
        <x:v>0.82</x:v>
      </x:c>
      <x:c r="L108" t="str">
        <x:v>Apartment</x:v>
      </x:c>
      <x:c r="M108" t="n">
        <x:v>3</x:v>
      </x:c>
      <x:c r="N108" s="16" t="n">
        <x:v>87.5</x:v>
      </x:c>
      <x:c r="O108" t="n">
        <x:v>1</x:v>
      </x:c>
      <x:c r="P108" t="n">
        <x:v>18</x:v>
      </x:c>
      <x:c r="Q108" s="18" t="n">
        <x:v>5530000</x:v>
      </x:c>
      <x:c r="R108" s="18" t="n">
        <x:f>IFERROR(Q108/N108,"")</x:f>
        <x:v>63200</x:v>
      </x:c>
      <x:c r="S108" t="n">
        <x:v>1977</x:v>
      </x:c>
      <x:c r="T108" t="n">
        <x:v>49</x:v>
      </x:c>
      <x:c r="U108" t="str">
        <x:v>Needs Renovation</x:v>
      </x:c>
      <x:c r="V108" s="16" t="n">
        <x:v>11.4</x:v>
      </x:c>
      <x:c r="W108" t="str">
        <x:v>South-West</x:v>
      </x:c>
      <x:c r="X108" t="n">
        <x:v>1</x:v>
      </x:c>
      <x:c r="Y108" s="16" t="n">
        <x:v>0</x:v>
      </x:c>
      <x:c r="Z108" s="1" t="b">
        <x:v>1</x:v>
      </x:c>
      <x:c r="AA108" t="str">
        <x:v>South-West, South</x:v>
      </x:c>
      <x:c r="AB108" s="16" t="n">
        <x:v>0</x:v>
      </x:c>
      <x:c r="AC108" s="16" t="n">
        <x:v>0</x:v>
      </x:c>
      <x:c r="AD108" s="1" t="b">
        <x:v>0</x:v>
      </x:c>
    </x:row>
    <x:row r="109">
      <x:c r="A109" t="str">
        <x:v>SYN-0108</x:v>
      </x:c>
      <x:c r="B109" s="12" t="n">
        <x:v>46242</x:v>
      </x:c>
      <x:c r="C109" t="str">
        <x:v>Synthetic New-Project Listing</x:v>
      </x:c>
      <x:c r="D109" t="str">
        <x:v>https://example.com/listings/SYN-0108</x:v>
      </x:c>
      <x:c r="E109" t="str">
        <x:v>New Project</x:v>
      </x:c>
      <x:c r="F109" t="str">
        <x:v>Kikar Residence</x:v>
      </x:c>
      <x:c r="G109" t="str">
        <x:v>Sample Development A</x:v>
      </x:c>
      <x:c r="H109" t="str">
        <x:v>Klay 89, Tel Aviv</x:v>
      </x:c>
      <x:c r="I109" t="str">
        <x:v>Tel Aviv</x:v>
      </x:c>
      <x:c r="J109" t="str">
        <x:v>Kikar HaMedina / New North</x:v>
      </x:c>
      <x:c r="K109" s="14" t="n">
        <x:v>0.56</x:v>
      </x:c>
      <x:c r="L109" t="str">
        <x:v>Apartment</x:v>
      </x:c>
      <x:c r="M109" t="n">
        <x:v>2</x:v>
      </x:c>
      <x:c r="N109" s="16" t="n">
        <x:v>48.3</x:v>
      </x:c>
      <x:c r="O109" t="n">
        <x:v>3</x:v>
      </x:c>
      <x:c r="P109" t="n">
        <x:v>13</x:v>
      </x:c>
      <x:c r="Q109" s="18" t="n">
        <x:v>4300000</x:v>
      </x:c>
      <x:c r="R109" s="18" t="n">
        <x:f>IFERROR(Q109/N109,"")</x:f>
        <x:v>89026.91511387164</x:v>
      </x:c>
      <x:c r="S109" t="n">
        <x:v>2027</x:v>
      </x:c>
      <x:c r="T109" t="n">
        <x:v>0</x:v>
      </x:c>
      <x:c r="U109" t="str">
        <x:v>New</x:v>
      </x:c>
      <x:c r="V109" s="16" t="n">
        <x:v>22.3</x:v>
      </x:c>
      <x:c r="W109" t="str">
        <x:v>North-West</x:v>
      </x:c>
      <x:c r="X109" t="n">
        <x:v>1</x:v>
      </x:c>
      <x:c r="Y109" s="16" t="n">
        <x:v>0</x:v>
      </x:c>
      <x:c r="Z109" s="1" t="b">
        <x:v>1</x:v>
      </x:c>
      <x:c r="AA109" t="str">
        <x:v>North-West, West</x:v>
      </x:c>
      <x:c r="AB109" s="16" t="n">
        <x:v>0</x:v>
      </x:c>
      <x:c r="AC109" s="16" t="n">
        <x:v>0</x:v>
      </x:c>
      <x:c r="AD109" s="1" t="b">
        <x:v>0</x:v>
      </x:c>
    </x:row>
    <x:row r="110">
      <x:c r="A110" t="str">
        <x:v>SYN-0109</x:v>
      </x:c>
      <x:c r="B110" s="12" t="n">
        <x:v>46227</x:v>
      </x:c>
      <x:c r="C110" t="str">
        <x:v>Synthetic New-Project Listing</x:v>
      </x:c>
      <x:c r="D110" t="str">
        <x:v>https://example.com/listings/SYN-0109</x:v>
      </x:c>
      <x:c r="E110" t="str">
        <x:v>New Project</x:v>
      </x:c>
      <x:c r="F110" t="str">
        <x:v>Medina Boutique</x:v>
      </x:c>
      <x:c r="G110" t="str">
        <x:v>Sample Development E</x:v>
      </x:c>
      <x:c r="H110" t="str">
        <x:v>Bavli 22, Tel Aviv</x:v>
      </x:c>
      <x:c r="I110" t="str">
        <x:v>Tel Aviv</x:v>
      </x:c>
      <x:c r="J110" t="str">
        <x:v>Kikar HaMedina / New North</x:v>
      </x:c>
      <x:c r="K110" s="14" t="n">
        <x:v>0.79</x:v>
      </x:c>
      <x:c r="L110" t="str">
        <x:v>Apartment</x:v>
      </x:c>
      <x:c r="M110" t="n">
        <x:v>4</x:v>
      </x:c>
      <x:c r="N110" s="16" t="n">
        <x:v>88.6</x:v>
      </x:c>
      <x:c r="O110" t="n">
        <x:v>4</x:v>
      </x:c>
      <x:c r="P110" t="n">
        <x:v>17</x:v>
      </x:c>
      <x:c r="Q110" s="18" t="n">
        <x:v>7020000</x:v>
      </x:c>
      <x:c r="R110" s="18" t="n">
        <x:f>IFERROR(Q110/N110,"")</x:f>
        <x:v>79232.50564334086</x:v>
      </x:c>
      <x:c r="S110" t="n">
        <x:v>2025</x:v>
      </x:c>
      <x:c r="T110" t="n">
        <x:v>1</x:v>
      </x:c>
      <x:c r="U110" t="str">
        <x:v>New</x:v>
      </x:c>
      <x:c r="V110" s="16" t="n">
        <x:v>13.7</x:v>
      </x:c>
      <x:c r="W110" t="str">
        <x:v>South-East</x:v>
      </x:c>
      <x:c r="X110" t="n">
        <x:v>1</x:v>
      </x:c>
      <x:c r="Y110" s="16" t="n">
        <x:v>7.6</x:v>
      </x:c>
      <x:c r="Z110" s="1" t="b">
        <x:v>1</x:v>
      </x:c>
      <x:c r="AA110" t="str">
        <x:v>South-East</x:v>
      </x:c>
      <x:c r="AB110" s="16" t="n">
        <x:v>0</x:v>
      </x:c>
      <x:c r="AC110" s="16" t="n">
        <x:v>0</x:v>
      </x:c>
      <x:c r="AD110" s="1" t="b">
        <x:v>0</x:v>
      </x:c>
    </x:row>
    <x:row r="111">
      <x:c r="A111" t="str">
        <x:v>SYN-0110</x:v>
      </x:c>
      <x:c r="B111" s="12" t="n">
        <x:v>46253</x:v>
      </x:c>
      <x:c r="C111" t="str">
        <x:v>Synthetic New-Project Listing</x:v>
      </x:c>
      <x:c r="D111" t="str">
        <x:v>https://example.com/listings/SYN-0110</x:v>
      </x:c>
      <x:c r="E111" t="str">
        <x:v>New Project</x:v>
      </x:c>
      <x:c r="F111" t="str">
        <x:v>Helsinki Gardens</x:v>
      </x:c>
      <x:c r="G111" t="str">
        <x:v>Sample Development C</x:v>
      </x:c>
      <x:c r="H111" t="str">
        <x:v>Klay 24, Tel Aviv</x:v>
      </x:c>
      <x:c r="I111" t="str">
        <x:v>Tel Aviv</x:v>
      </x:c>
      <x:c r="J111" t="str">
        <x:v>Kikar HaMedina / New North</x:v>
      </x:c>
      <x:c r="K111" s="14" t="n">
        <x:v>0.48</x:v>
      </x:c>
      <x:c r="L111" t="str">
        <x:v>Apartment</x:v>
      </x:c>
      <x:c r="M111" t="n">
        <x:v>2</x:v>
      </x:c>
      <x:c r="N111" s="16" t="n">
        <x:v>50.3</x:v>
      </x:c>
      <x:c r="O111" t="n">
        <x:v>5</x:v>
      </x:c>
      <x:c r="P111" t="n">
        <x:v>18</x:v>
      </x:c>
      <x:c r="Q111" s="18" t="n">
        <x:v>4340000</x:v>
      </x:c>
      <x:c r="R111" s="18" t="n">
        <x:f>IFERROR(Q111/N111,"")</x:f>
        <x:v>86282.30616302187</x:v>
      </x:c>
      <x:c r="S111" t="n">
        <x:v>2025</x:v>
      </x:c>
      <x:c r="T111" t="n">
        <x:v>1</x:v>
      </x:c>
      <x:c r="U111" t="str">
        <x:v>New</x:v>
      </x:c>
      <x:c r="V111" s="16" t="n">
        <x:v>11</x:v>
      </x:c>
      <x:c r="W111" t="str">
        <x:v>South-West</x:v>
      </x:c>
      <x:c r="X111" t="n">
        <x:v>1</x:v>
      </x:c>
      <x:c r="Y111" s="16" t="n">
        <x:v>3.7</x:v>
      </x:c>
      <x:c r="Z111" s="1" t="b">
        <x:v>1</x:v>
      </x:c>
      <x:c r="AA111" t="str">
        <x:v>South-West, East</x:v>
      </x:c>
      <x:c r="AB111" s="16" t="n">
        <x:v>0</x:v>
      </x:c>
      <x:c r="AC111" s="16" t="n">
        <x:v>0</x:v>
      </x:c>
      <x:c r="AD111" s="1" t="b">
        <x:v>0</x:v>
      </x:c>
    </x:row>
    <x:row r="112">
      <x:c r="A112" t="str">
        <x:v>SYN-0111</x:v>
      </x:c>
      <x:c r="B112" s="12" t="n">
        <x:v>46204</x:v>
      </x:c>
      <x:c r="C112" t="str">
        <x:v>Synthetic New-Project Listing</x:v>
      </x:c>
      <x:c r="D112" t="str">
        <x:v>https://example.com/listings/SYN-0111</x:v>
      </x:c>
      <x:c r="E112" t="str">
        <x:v>New Project</x:v>
      </x:c>
      <x:c r="F112" t="str">
        <x:v>Helsinki Gardens</x:v>
      </x:c>
      <x:c r="G112" t="str">
        <x:v>Sample Development C</x:v>
      </x:c>
      <x:c r="H112" t="str">
        <x:v>Lissin 64, Tel Aviv</x:v>
      </x:c>
      <x:c r="I112" t="str">
        <x:v>Tel Aviv</x:v>
      </x:c>
      <x:c r="J112" t="str">
        <x:v>Kikar HaMedina / New North</x:v>
      </x:c>
      <x:c r="K112" s="14" t="n">
        <x:v>0.67</x:v>
      </x:c>
      <x:c r="L112" t="str">
        <x:v>Apartment</x:v>
      </x:c>
      <x:c r="M112" t="n">
        <x:v>5</x:v>
      </x:c>
      <x:c r="N112" s="16" t="n">
        <x:v>135.5</x:v>
      </x:c>
      <x:c r="O112" t="n">
        <x:v>3</x:v>
      </x:c>
      <x:c r="P112" t="n">
        <x:v>13</x:v>
      </x:c>
      <x:c r="Q112" s="18" t="n">
        <x:v>10330000</x:v>
      </x:c>
      <x:c r="R112" s="18" t="n">
        <x:f>IFERROR(Q112/N112,"")</x:f>
        <x:v>76236.16236162362</x:v>
      </x:c>
      <x:c r="S112" t="n">
        <x:v>2026</x:v>
      </x:c>
      <x:c r="T112" t="n">
        <x:v>0</x:v>
      </x:c>
      <x:c r="U112" t="str">
        <x:v>New</x:v>
      </x:c>
      <x:c r="V112" s="16" t="n">
        <x:v>12.1</x:v>
      </x:c>
      <x:c r="W112" t="str">
        <x:v>North-East</x:v>
      </x:c>
      <x:c r="X112" t="n">
        <x:v>1</x:v>
      </x:c>
      <x:c r="Y112" s="16" t="n">
        <x:v>6</x:v>
      </x:c>
      <x:c r="Z112" s="1" t="b">
        <x:v>1</x:v>
      </x:c>
      <x:c r="AA112" t="str">
        <x:v>North-East</x:v>
      </x:c>
      <x:c r="AB112" s="16" t="n">
        <x:v>0</x:v>
      </x:c>
      <x:c r="AC112" s="16" t="n">
        <x:v>0</x:v>
      </x:c>
      <x:c r="AD112" s="1" t="b">
        <x:v>0</x:v>
      </x:c>
    </x:row>
    <x:row r="113">
      <x:c r="A113" t="str">
        <x:v>SYN-0112</x:v>
      </x:c>
      <x:c r="B113" s="12" t="n">
        <x:v>46219</x:v>
      </x:c>
      <x:c r="C113" t="str">
        <x:v>Synthetic Yad2-like Listing</x:v>
      </x:c>
      <x:c r="D113" t="str">
        <x:v>https://example.com/listings/SYN-0112</x:v>
      </x:c>
      <x:c r="E113" t="str">
        <x:v>Second Hand</x:v>
      </x:c>
      <x:c r="F113" t="str"/>
      <x:c r="G113" t="str"/>
      <x:c r="H113" t="str">
        <x:v>Biltmore 82, Tel Aviv</x:v>
      </x:c>
      <x:c r="I113" t="str">
        <x:v>Tel Aviv</x:v>
      </x:c>
      <x:c r="J113" t="str">
        <x:v>Kikar HaMedina / New North</x:v>
      </x:c>
      <x:c r="K113" s="14" t="n">
        <x:v>0.83</x:v>
      </x:c>
      <x:c r="L113" t="str">
        <x:v>Apartment</x:v>
      </x:c>
      <x:c r="M113" t="n">
        <x:v>3</x:v>
      </x:c>
      <x:c r="N113" s="16" t="n">
        <x:v>79.3</x:v>
      </x:c>
      <x:c r="O113" t="n">
        <x:v>12</x:v>
      </x:c>
      <x:c r="P113" t="n">
        <x:v>15</x:v>
      </x:c>
      <x:c r="Q113" s="18" t="n">
        <x:v>6090000</x:v>
      </x:c>
      <x:c r="R113" s="18" t="n">
        <x:f>IFERROR(Q113/N113,"")</x:f>
        <x:v>76796.973518285</x:v>
      </x:c>
      <x:c r="S113" t="n">
        <x:v>1990</x:v>
      </x:c>
      <x:c r="T113" t="n">
        <x:v>36</x:v>
      </x:c>
      <x:c r="U113" t="str">
        <x:v>Renovated</x:v>
      </x:c>
      <x:c r="V113" s="16" t="n">
        <x:v>21.2</x:v>
      </x:c>
      <x:c r="W113" t="str">
        <x:v>East</x:v>
      </x:c>
      <x:c r="X113" t="n">
        <x:v>1</x:v>
      </x:c>
      <x:c r="Y113" s="16" t="n">
        <x:v>0</x:v>
      </x:c>
      <x:c r="Z113" s="1" t="b">
        <x:v>1</x:v>
      </x:c>
      <x:c r="AA113" t="str">
        <x:v>East</x:v>
      </x:c>
      <x:c r="AB113" s="16" t="n">
        <x:v>0</x:v>
      </x:c>
      <x:c r="AC113" s="16" t="n">
        <x:v>0</x:v>
      </x:c>
      <x:c r="AD113" s="1" t="b">
        <x:v>0</x:v>
      </x:c>
    </x:row>
    <x:row r="114">
      <x:c r="A114" t="str">
        <x:v>SYN-0113</x:v>
      </x:c>
      <x:c r="B114" s="12" t="n">
        <x:v>46219</x:v>
      </x:c>
      <x:c r="C114" t="str">
        <x:v>Synthetic New-Project Listing</x:v>
      </x:c>
      <x:c r="D114" t="str">
        <x:v>https://example.com/listings/SYN-0113</x:v>
      </x:c>
      <x:c r="E114" t="str">
        <x:v>New Project</x:v>
      </x:c>
      <x:c r="F114" t="str">
        <x:v>Weizmann Urban</x:v>
      </x:c>
      <x:c r="G114" t="str">
        <x:v>Sample Development B</x:v>
      </x:c>
      <x:c r="H114" t="str">
        <x:v>Lissin 18, Tel Aviv</x:v>
      </x:c>
      <x:c r="I114" t="str">
        <x:v>Tel Aviv</x:v>
      </x:c>
      <x:c r="J114" t="str">
        <x:v>Kikar HaMedina / New North</x:v>
      </x:c>
      <x:c r="K114" s="14" t="n">
        <x:v>0.69</x:v>
      </x:c>
      <x:c r="L114" t="str">
        <x:v>Apartment</x:v>
      </x:c>
      <x:c r="M114" t="n">
        <x:v>3</x:v>
      </x:c>
      <x:c r="N114" s="16" t="n">
        <x:v>83.1</x:v>
      </x:c>
      <x:c r="O114" t="n">
        <x:v>5</x:v>
      </x:c>
      <x:c r="P114" t="n">
        <x:v>7</x:v>
      </x:c>
      <x:c r="Q114" s="18" t="n">
        <x:v>7230000</x:v>
      </x:c>
      <x:c r="R114" s="18" t="n">
        <x:f>IFERROR(Q114/N114,"")</x:f>
        <x:v>87003.61010830326</x:v>
      </x:c>
      <x:c r="S114" t="n">
        <x:v>2026</x:v>
      </x:c>
      <x:c r="T114" t="n">
        <x:v>0</x:v>
      </x:c>
      <x:c r="U114" t="str">
        <x:v>New</x:v>
      </x:c>
      <x:c r="V114" s="16" t="n">
        <x:v>24</x:v>
      </x:c>
      <x:c r="W114" t="str">
        <x:v>East</x:v>
      </x:c>
      <x:c r="X114" t="n">
        <x:v>1</x:v>
      </x:c>
      <x:c r="Y114" s="16" t="n">
        <x:v>9.7</x:v>
      </x:c>
      <x:c r="Z114" s="1" t="b">
        <x:v>1</x:v>
      </x:c>
      <x:c r="AA114" t="str">
        <x:v>East</x:v>
      </x:c>
      <x:c r="AB114" s="16" t="n">
        <x:v>0</x:v>
      </x:c>
      <x:c r="AC114" s="16" t="n">
        <x:v>0</x:v>
      </x:c>
      <x:c r="AD114" s="1" t="b">
        <x:v>0</x:v>
      </x:c>
    </x:row>
    <x:row r="115">
      <x:c r="A115" t="str">
        <x:v>SYN-0114</x:v>
      </x:c>
      <x:c r="B115" s="12" t="n">
        <x:v>46243</x:v>
      </x:c>
      <x:c r="C115" t="str">
        <x:v>Synthetic New-Project Listing</x:v>
      </x:c>
      <x:c r="D115" t="str">
        <x:v>https://example.com/listings/SYN-0114</x:v>
      </x:c>
      <x:c r="E115" t="str">
        <x:v>New Project</x:v>
      </x:c>
      <x:c r="F115" t="str">
        <x:v>Medina Boutique</x:v>
      </x:c>
      <x:c r="G115" t="str">
        <x:v>Sample Development E</x:v>
      </x:c>
      <x:c r="H115" t="str">
        <x:v>Epstein 164, Tel Aviv</x:v>
      </x:c>
      <x:c r="I115" t="str">
        <x:v>Tel Aviv</x:v>
      </x:c>
      <x:c r="J115" t="str">
        <x:v>Kikar HaMedina / New North</x:v>
      </x:c>
      <x:c r="K115" s="14" t="n">
        <x:v>0.71</x:v>
      </x:c>
      <x:c r="L115" t="str">
        <x:v>Apartment</x:v>
      </x:c>
      <x:c r="M115" t="n">
        <x:v>2</x:v>
      </x:c>
      <x:c r="N115" s="16" t="n">
        <x:v>51.9</x:v>
      </x:c>
      <x:c r="O115" t="n">
        <x:v>6</x:v>
      </x:c>
      <x:c r="P115" t="n">
        <x:v>8</x:v>
      </x:c>
      <x:c r="Q115" s="18" t="n">
        <x:v>4400000</x:v>
      </x:c>
      <x:c r="R115" s="18" t="n">
        <x:f>IFERROR(Q115/N115,"")</x:f>
        <x:v>84778.42003853565</x:v>
      </x:c>
      <x:c r="S115" t="n">
        <x:v>2026</x:v>
      </x:c>
      <x:c r="T115" t="n">
        <x:v>0</x:v>
      </x:c>
      <x:c r="U115" t="str">
        <x:v>New</x:v>
      </x:c>
      <x:c r="V115" s="16" t="n">
        <x:v>17.3</x:v>
      </x:c>
      <x:c r="W115" t="str">
        <x:v>South-East</x:v>
      </x:c>
      <x:c r="X115" t="n">
        <x:v>1</x:v>
      </x:c>
      <x:c r="Y115" s="16" t="n">
        <x:v>0</x:v>
      </x:c>
      <x:c r="Z115" s="1" t="b">
        <x:v>1</x:v>
      </x:c>
      <x:c r="AA115" t="str">
        <x:v>South-East, West</x:v>
      </x:c>
      <x:c r="AB115" s="16" t="n">
        <x:v>0</x:v>
      </x:c>
      <x:c r="AC115" s="16" t="n">
        <x:v>0</x:v>
      </x:c>
      <x:c r="AD115" s="1" t="b">
        <x:v>0</x:v>
      </x:c>
    </x:row>
    <x:row r="116">
      <x:c r="A116" t="str">
        <x:v>SYN-0115</x:v>
      </x:c>
      <x:c r="B116" s="12" t="n">
        <x:v>46209</x:v>
      </x:c>
      <x:c r="C116" t="str">
        <x:v>Synthetic New-Project Listing</x:v>
      </x:c>
      <x:c r="D116" t="str">
        <x:v>https://example.com/listings/SYN-0115</x:v>
      </x:c>
      <x:c r="E116" t="str">
        <x:v>New Project</x:v>
      </x:c>
      <x:c r="F116" t="str">
        <x:v>North TLV Living</x:v>
      </x:c>
      <x:c r="G116" t="str">
        <x:v>Sample Development D</x:v>
      </x:c>
      <x:c r="H116" t="str">
        <x:v>Mosenzon 151, Tel Aviv</x:v>
      </x:c>
      <x:c r="I116" t="str">
        <x:v>Tel Aviv</x:v>
      </x:c>
      <x:c r="J116" t="str">
        <x:v>Kikar HaMedina / New North</x:v>
      </x:c>
      <x:c r="K116" s="14" t="n">
        <x:v>0.69</x:v>
      </x:c>
      <x:c r="L116" t="str">
        <x:v>Apartment</x:v>
      </x:c>
      <x:c r="M116" t="n">
        <x:v>5</x:v>
      </x:c>
      <x:c r="N116" s="16" t="n">
        <x:v>129.6</x:v>
      </x:c>
      <x:c r="O116" t="n">
        <x:v>6</x:v>
      </x:c>
      <x:c r="P116" t="n">
        <x:v>12</x:v>
      </x:c>
      <x:c r="Q116" s="18" t="n">
        <x:v>10040000</x:v>
      </x:c>
      <x:c r="R116" s="18" t="n">
        <x:f>IFERROR(Q116/N116,"")</x:f>
        <x:v>77469.13580246914</x:v>
      </x:c>
      <x:c r="S116" t="n">
        <x:v>2025</x:v>
      </x:c>
      <x:c r="T116" t="n">
        <x:v>1</x:v>
      </x:c>
      <x:c r="U116" t="str">
        <x:v>New</x:v>
      </x:c>
      <x:c r="V116" s="16" t="n">
        <x:v>8.3</x:v>
      </x:c>
      <x:c r="W116" t="str">
        <x:v>North-East</x:v>
      </x:c>
      <x:c r="X116" t="n">
        <x:v>1</x:v>
      </x:c>
      <x:c r="Y116" s="16" t="n">
        <x:v>7.8</x:v>
      </x:c>
      <x:c r="Z116" s="1" t="b">
        <x:v>1</x:v>
      </x:c>
      <x:c r="AA116" t="str">
        <x:v>North-East</x:v>
      </x:c>
      <x:c r="AB116" s="16" t="n">
        <x:v>0</x:v>
      </x:c>
      <x:c r="AC116" s="16" t="n">
        <x:v>0</x:v>
      </x:c>
      <x:c r="AD116" s="1" t="b">
        <x:v>0</x:v>
      </x:c>
    </x:row>
    <x:row r="117">
      <x:c r="A117" t="str">
        <x:v>SYN-0116</x:v>
      </x:c>
      <x:c r="B117" s="12" t="n">
        <x:v>46215</x:v>
      </x:c>
      <x:c r="C117" t="str">
        <x:v>Synthetic New-Project Listing</x:v>
      </x:c>
      <x:c r="D117" t="str">
        <x:v>https://example.com/listings/SYN-0116</x:v>
      </x:c>
      <x:c r="E117" t="str">
        <x:v>New Project</x:v>
      </x:c>
      <x:c r="F117" t="str">
        <x:v>Kikar Residence</x:v>
      </x:c>
      <x:c r="G117" t="str">
        <x:v>Sample Development A</x:v>
      </x:c>
      <x:c r="H117" t="str">
        <x:v>Helsinki 88, Tel Aviv</x:v>
      </x:c>
      <x:c r="I117" t="str">
        <x:v>Tel Aviv</x:v>
      </x:c>
      <x:c r="J117" t="str">
        <x:v>Kikar HaMedina / New North</x:v>
      </x:c>
      <x:c r="K117" s="14" t="n">
        <x:v>0.19</x:v>
      </x:c>
      <x:c r="L117" t="str">
        <x:v>Apartment</x:v>
      </x:c>
      <x:c r="M117" t="n">
        <x:v>5</x:v>
      </x:c>
      <x:c r="N117" s="16" t="n">
        <x:v>115.7</x:v>
      </x:c>
      <x:c r="O117" t="n">
        <x:v>4</x:v>
      </x:c>
      <x:c r="P117" t="n">
        <x:v>10</x:v>
      </x:c>
      <x:c r="Q117" s="18" t="n">
        <x:v>9200000</x:v>
      </x:c>
      <x:c r="R117" s="18" t="n">
        <x:f>IFERROR(Q117/N117,"")</x:f>
        <x:v>79515.98962834918</x:v>
      </x:c>
      <x:c r="S117" t="n">
        <x:v>2025</x:v>
      </x:c>
      <x:c r="T117" t="n">
        <x:v>1</x:v>
      </x:c>
      <x:c r="U117" t="str">
        <x:v>New</x:v>
      </x:c>
      <x:c r="V117" s="16" t="n">
        <x:v>19.6</x:v>
      </x:c>
      <x:c r="W117" t="str">
        <x:v>South-West</x:v>
      </x:c>
      <x:c r="X117" t="n">
        <x:v>1</x:v>
      </x:c>
      <x:c r="Y117" s="16" t="n">
        <x:v>3.5</x:v>
      </x:c>
      <x:c r="Z117" s="1" t="b">
        <x:v>1</x:v>
      </x:c>
      <x:c r="AA117" t="str">
        <x:v>South-West</x:v>
      </x:c>
      <x:c r="AB117" s="16" t="n">
        <x:v>0</x:v>
      </x:c>
      <x:c r="AC117" s="16" t="n">
        <x:v>0</x:v>
      </x:c>
      <x:c r="AD117" s="1" t="b">
        <x:v>0</x:v>
      </x:c>
    </x:row>
    <x:row r="118">
      <x:c r="A118" t="str">
        <x:v>SYN-0117</x:v>
      </x:c>
      <x:c r="B118" s="12" t="n">
        <x:v>46238</x:v>
      </x:c>
      <x:c r="C118" t="str">
        <x:v>Synthetic Yad2-like Listing</x:v>
      </x:c>
      <x:c r="D118" t="str">
        <x:v>https://example.com/listings/SYN-0117</x:v>
      </x:c>
      <x:c r="E118" t="str">
        <x:v>Second Hand</x:v>
      </x:c>
      <x:c r="F118" t="str"/>
      <x:c r="G118" t="str"/>
      <x:c r="H118" t="str">
        <x:v>Biltmore 72, Tel Aviv</x:v>
      </x:c>
      <x:c r="I118" t="str">
        <x:v>Tel Aviv</x:v>
      </x:c>
      <x:c r="J118" t="str">
        <x:v>Kikar HaMedina / New North</x:v>
      </x:c>
      <x:c r="K118" s="14" t="n">
        <x:v>0.96</x:v>
      </x:c>
      <x:c r="L118" t="str">
        <x:v>Apartment</x:v>
      </x:c>
      <x:c r="M118" t="n">
        <x:v>3</x:v>
      </x:c>
      <x:c r="N118" s="16" t="n">
        <x:v>74.8</x:v>
      </x:c>
      <x:c r="O118" t="n">
        <x:v>7</x:v>
      </x:c>
      <x:c r="P118" t="n">
        <x:v>11</x:v>
      </x:c>
      <x:c r="Q118" s="18" t="n">
        <x:v>5170000</x:v>
      </x:c>
      <x:c r="R118" s="18" t="n">
        <x:f>IFERROR(Q118/N118,"")</x:f>
        <x:v>69117.64705882354</x:v>
      </x:c>
      <x:c r="S118" t="n">
        <x:v>1988</x:v>
      </x:c>
      <x:c r="T118" t="n">
        <x:v>38</x:v>
      </x:c>
      <x:c r="U118" t="str">
        <x:v>Good</x:v>
      </x:c>
      <x:c r="V118" s="16" t="n">
        <x:v>11</x:v>
      </x:c>
      <x:c r="W118" t="str">
        <x:v>South-East</x:v>
      </x:c>
      <x:c r="X118" t="n">
        <x:v>1</x:v>
      </x:c>
      <x:c r="Y118" s="16" t="n">
        <x:v>0</x:v>
      </x:c>
      <x:c r="Z118" s="1" t="b">
        <x:v>0</x:v>
      </x:c>
      <x:c r="AA118" t="str">
        <x:v>South-East, West</x:v>
      </x:c>
      <x:c r="AB118" s="16" t="n">
        <x:v>0</x:v>
      </x:c>
      <x:c r="AC118" s="16" t="n">
        <x:v>0</x:v>
      </x:c>
      <x:c r="AD118" s="1" t="b">
        <x:v>0</x:v>
      </x:c>
    </x:row>
    <x:row r="119">
      <x:c r="A119" t="str">
        <x:v>SYN-0118</x:v>
      </x:c>
      <x:c r="B119" s="12" t="n">
        <x:v>46211</x:v>
      </x:c>
      <x:c r="C119" t="str">
        <x:v>Synthetic New-Project Listing</x:v>
      </x:c>
      <x:c r="D119" t="str">
        <x:v>https://example.com/listings/SYN-0118</x:v>
      </x:c>
      <x:c r="E119" t="str">
        <x:v>New Project</x:v>
      </x:c>
      <x:c r="F119" t="str">
        <x:v>Medina Boutique</x:v>
      </x:c>
      <x:c r="G119" t="str">
        <x:v>Sample Development E</x:v>
      </x:c>
      <x:c r="H119" t="str">
        <x:v>Pinkas 173, Tel Aviv</x:v>
      </x:c>
      <x:c r="I119" t="str">
        <x:v>Tel Aviv</x:v>
      </x:c>
      <x:c r="J119" t="str">
        <x:v>Kikar HaMedina / New North</x:v>
      </x:c>
      <x:c r="K119" s="14" t="n">
        <x:v>0.45</x:v>
      </x:c>
      <x:c r="L119" t="str">
        <x:v>Apartment</x:v>
      </x:c>
      <x:c r="M119" t="n">
        <x:v>3</x:v>
      </x:c>
      <x:c r="N119" s="16" t="n">
        <x:v>75.5</x:v>
      </x:c>
      <x:c r="O119" t="n">
        <x:v>4</x:v>
      </x:c>
      <x:c r="P119" t="n">
        <x:v>15</x:v>
      </x:c>
      <x:c r="Q119" s="18" t="n">
        <x:v>6200000</x:v>
      </x:c>
      <x:c r="R119" s="18" t="n">
        <x:f>IFERROR(Q119/N119,"")</x:f>
        <x:v>82119.20529801324</x:v>
      </x:c>
      <x:c r="S119" t="n">
        <x:v>2026</x:v>
      </x:c>
      <x:c r="T119" t="n">
        <x:v>0</x:v>
      </x:c>
      <x:c r="U119" t="str">
        <x:v>New</x:v>
      </x:c>
      <x:c r="V119" s="16" t="n">
        <x:v>18.2</x:v>
      </x:c>
      <x:c r="W119" t="str">
        <x:v>South-East</x:v>
      </x:c>
      <x:c r="X119" t="n">
        <x:v>1</x:v>
      </x:c>
      <x:c r="Y119" s="16" t="n">
        <x:v>5.4</x:v>
      </x:c>
      <x:c r="Z119" s="1" t="b">
        <x:v>1</x:v>
      </x:c>
      <x:c r="AA119" t="str">
        <x:v>South-East</x:v>
      </x:c>
      <x:c r="AB119" s="16" t="n">
        <x:v>0</x:v>
      </x:c>
      <x:c r="AC119" s="16" t="n">
        <x:v>0</x:v>
      </x:c>
      <x:c r="AD119" s="1" t="b">
        <x:v>0</x:v>
      </x:c>
    </x:row>
    <x:row r="120">
      <x:c r="A120" t="str">
        <x:v>SYN-0119</x:v>
      </x:c>
      <x:c r="B120" s="12" t="n">
        <x:v>46212</x:v>
      </x:c>
      <x:c r="C120" t="str">
        <x:v>Synthetic New-Project Listing</x:v>
      </x:c>
      <x:c r="D120" t="str">
        <x:v>https://example.com/listings/SYN-0119</x:v>
      </x:c>
      <x:c r="E120" t="str">
        <x:v>New Project</x:v>
      </x:c>
      <x:c r="F120" t="str">
        <x:v>Weizmann Urban</x:v>
      </x:c>
      <x:c r="G120" t="str">
        <x:v>Sample Development B</x:v>
      </x:c>
      <x:c r="H120" t="str">
        <x:v>Klay 48, Tel Aviv</x:v>
      </x:c>
      <x:c r="I120" t="str">
        <x:v>Tel Aviv</x:v>
      </x:c>
      <x:c r="J120" t="str">
        <x:v>Kikar HaMedina / New North</x:v>
      </x:c>
      <x:c r="K120" s="14" t="n">
        <x:v>0.63</x:v>
      </x:c>
      <x:c r="L120" t="str">
        <x:v>Apartment</x:v>
      </x:c>
      <x:c r="M120" t="n">
        <x:v>2</x:v>
      </x:c>
      <x:c r="N120" s="16" t="n">
        <x:v>51.2</x:v>
      </x:c>
      <x:c r="O120" t="n">
        <x:v>2</x:v>
      </x:c>
      <x:c r="P120" t="n">
        <x:v>12</x:v>
      </x:c>
      <x:c r="Q120" s="18" t="n">
        <x:v>4230000</x:v>
      </x:c>
      <x:c r="R120" s="18" t="n">
        <x:f>IFERROR(Q120/N120,"")</x:f>
        <x:v>82617.1875</x:v>
      </x:c>
      <x:c r="S120" t="n">
        <x:v>2027</x:v>
      </x:c>
      <x:c r="T120" t="n">
        <x:v>0</x:v>
      </x:c>
      <x:c r="U120" t="str">
        <x:v>New</x:v>
      </x:c>
      <x:c r="V120" s="16" t="n">
        <x:v>17.2</x:v>
      </x:c>
      <x:c r="W120" t="str">
        <x:v>South-East</x:v>
      </x:c>
      <x:c r="X120" t="n">
        <x:v>1</x:v>
      </x:c>
      <x:c r="Y120" s="16" t="n">
        <x:v>7.9</x:v>
      </x:c>
      <x:c r="Z120" s="1" t="b">
        <x:v>1</x:v>
      </x:c>
      <x:c r="AA120" t="str">
        <x:v>South-East, West</x:v>
      </x:c>
      <x:c r="AB120" s="16" t="n">
        <x:v>0</x:v>
      </x:c>
      <x:c r="AC120" s="16" t="n">
        <x:v>0</x:v>
      </x:c>
      <x:c r="AD120" s="1" t="b">
        <x:v>0</x:v>
      </x:c>
    </x:row>
    <x:row r="121">
      <x:c r="A121" t="str">
        <x:v>SYN-0120</x:v>
      </x:c>
      <x:c r="B121" s="12" t="n">
        <x:v>46235</x:v>
      </x:c>
      <x:c r="C121" t="str">
        <x:v>Synthetic New-Project Listing</x:v>
      </x:c>
      <x:c r="D121" t="str">
        <x:v>https://example.com/listings/SYN-0120</x:v>
      </x:c>
      <x:c r="E121" t="str">
        <x:v>New Project</x:v>
      </x:c>
      <x:c r="F121" t="str">
        <x:v>Helsinki Gardens</x:v>
      </x:c>
      <x:c r="G121" t="str">
        <x:v>Sample Development C</x:v>
      </x:c>
      <x:c r="H121" t="str">
        <x:v>Helsinki 71, Tel Aviv</x:v>
      </x:c>
      <x:c r="I121" t="str">
        <x:v>Tel Aviv</x:v>
      </x:c>
      <x:c r="J121" t="str">
        <x:v>Kikar HaMedina / New North</x:v>
      </x:c>
      <x:c r="K121" s="14" t="n">
        <x:v>0.16</x:v>
      </x:c>
      <x:c r="L121" t="str">
        <x:v>Apartment</x:v>
      </x:c>
      <x:c r="M121" t="n">
        <x:v>3</x:v>
      </x:c>
      <x:c r="N121" s="16" t="n">
        <x:v>77.9</x:v>
      </x:c>
      <x:c r="O121" t="n">
        <x:v>10</x:v>
      </x:c>
      <x:c r="P121" t="n">
        <x:v>18</x:v>
      </x:c>
      <x:c r="Q121" s="18" t="n">
        <x:v>6610000</x:v>
      </x:c>
      <x:c r="R121" s="18" t="n">
        <x:f>IFERROR(Q121/N121,"")</x:f>
        <x:v>84852.37483953786</x:v>
      </x:c>
      <x:c r="S121" t="n">
        <x:v>2025</x:v>
      </x:c>
      <x:c r="T121" t="n">
        <x:v>1</x:v>
      </x:c>
      <x:c r="U121" t="str">
        <x:v>New</x:v>
      </x:c>
      <x:c r="V121" s="16" t="n">
        <x:v>19.4</x:v>
      </x:c>
      <x:c r="W121" t="str">
        <x:v>South-West</x:v>
      </x:c>
      <x:c r="X121" t="n">
        <x:v>1</x:v>
      </x:c>
      <x:c r="Y121" s="16" t="n">
        <x:v>3.2</x:v>
      </x:c>
      <x:c r="Z121" s="1" t="b">
        <x:v>1</x:v>
      </x:c>
      <x:c r="AA121" t="str">
        <x:v>South-West, East</x:v>
      </x:c>
      <x:c r="AB121" s="16" t="n">
        <x:v>0</x:v>
      </x:c>
      <x:c r="AC121" s="16" t="n">
        <x:v>0</x:v>
      </x:c>
      <x:c r="AD121" s="1" t="b">
        <x:v>0</x:v>
      </x:c>
    </x:row>
    <x:row r="122">
      <x:c r="A122" t="str">
        <x:v>SYN-0121</x:v>
      </x:c>
      <x:c r="B122" s="12" t="n">
        <x:v>46211</x:v>
      </x:c>
      <x:c r="C122" t="str">
        <x:v>Synthetic Yad2-like Listing</x:v>
      </x:c>
      <x:c r="D122" t="str">
        <x:v>https://example.com/listings/SYN-0121</x:v>
      </x:c>
      <x:c r="E122" t="str">
        <x:v>Second Hand</x:v>
      </x:c>
      <x:c r="F122" t="str"/>
      <x:c r="G122" t="str"/>
      <x:c r="H122" t="str">
        <x:v>Jabotinsky 116, Tel Aviv</x:v>
      </x:c>
      <x:c r="I122" t="str">
        <x:v>Tel Aviv</x:v>
      </x:c>
      <x:c r="J122" t="str">
        <x:v>Kikar HaMedina / New North</x:v>
      </x:c>
      <x:c r="K122" s="14" t="n">
        <x:v>0.46</x:v>
      </x:c>
      <x:c r="L122" t="str">
        <x:v>Apartment</x:v>
      </x:c>
      <x:c r="M122" t="n">
        <x:v>2</x:v>
      </x:c>
      <x:c r="N122" s="16" t="n">
        <x:v>47.6</x:v>
      </x:c>
      <x:c r="O122" t="n">
        <x:v>12</x:v>
      </x:c>
      <x:c r="P122" t="n">
        <x:v>17</x:v>
      </x:c>
      <x:c r="Q122" s="18" t="n">
        <x:v>3680000</x:v>
      </x:c>
      <x:c r="R122" s="18" t="n">
        <x:f>IFERROR(Q122/N122,"")</x:f>
        <x:v>77310.9243697479</x:v>
      </x:c>
      <x:c r="S122" t="n">
        <x:v>1987</x:v>
      </x:c>
      <x:c r="T122" t="n">
        <x:v>39</x:v>
      </x:c>
      <x:c r="U122" t="str">
        <x:v>Renovated</x:v>
      </x:c>
      <x:c r="V122" s="16" t="n">
        <x:v>21.2</x:v>
      </x:c>
      <x:c r="W122" t="str">
        <x:v>North</x:v>
      </x:c>
      <x:c r="X122" t="n">
        <x:v>0</x:v>
      </x:c>
      <x:c r="Y122" s="16" t="n">
        <x:v>0</x:v>
      </x:c>
      <x:c r="Z122" s="1" t="b">
        <x:v>1</x:v>
      </x:c>
      <x:c r="AA122" t="str">
        <x:v>North</x:v>
      </x:c>
      <x:c r="AB122" s="16" t="n">
        <x:v>0</x:v>
      </x:c>
      <x:c r="AC122" s="16" t="n">
        <x:v>0</x:v>
      </x:c>
      <x:c r="AD122" s="1" t="b">
        <x:v>0</x:v>
      </x:c>
    </x:row>
    <x:row r="123">
      <x:c r="A123" t="str">
        <x:v>SYN-0122</x:v>
      </x:c>
      <x:c r="B123" s="12" t="n">
        <x:v>46221</x:v>
      </x:c>
      <x:c r="C123" t="str">
        <x:v>Synthetic Yad2-like Listing</x:v>
      </x:c>
      <x:c r="D123" t="str">
        <x:v>https://example.com/listings/SYN-0122</x:v>
      </x:c>
      <x:c r="E123" t="str">
        <x:v>Second Hand</x:v>
      </x:c>
      <x:c r="F123" t="str"/>
      <x:c r="G123" t="str"/>
      <x:c r="H123" t="str">
        <x:v>Bavli 153, Tel Aviv</x:v>
      </x:c>
      <x:c r="I123" t="str">
        <x:v>Tel Aviv</x:v>
      </x:c>
      <x:c r="J123" t="str">
        <x:v>Kikar HaMedina / New North</x:v>
      </x:c>
      <x:c r="K123" s="14" t="n">
        <x:v>0.99</x:v>
      </x:c>
      <x:c r="L123" t="str">
        <x:v>Apartment</x:v>
      </x:c>
      <x:c r="M123" t="n">
        <x:v>3</x:v>
      </x:c>
      <x:c r="N123" s="16" t="n">
        <x:v>83.6</x:v>
      </x:c>
      <x:c r="O123" t="n">
        <x:v>9</x:v>
      </x:c>
      <x:c r="P123" t="n">
        <x:v>15</x:v>
      </x:c>
      <x:c r="Q123" s="18" t="n">
        <x:v>5570000</x:v>
      </x:c>
      <x:c r="R123" s="18" t="n">
        <x:f>IFERROR(Q123/N123,"")</x:f>
        <x:v>66626.79425837321</x:v>
      </x:c>
      <x:c r="S123" t="n">
        <x:v>1996</x:v>
      </x:c>
      <x:c r="T123" t="n">
        <x:v>30</x:v>
      </x:c>
      <x:c r="U123" t="str">
        <x:v>Good</x:v>
      </x:c>
      <x:c r="V123" s="16" t="n">
        <x:v>14.9</x:v>
      </x:c>
      <x:c r="W123" t="str">
        <x:v>East</x:v>
      </x:c>
      <x:c r="X123" t="n">
        <x:v>0</x:v>
      </x:c>
      <x:c r="Y123" s="16" t="n">
        <x:v>0</x:v>
      </x:c>
      <x:c r="Z123" s="1" t="b">
        <x:v>1</x:v>
      </x:c>
      <x:c r="AA123" t="str">
        <x:v>East, North</x:v>
      </x:c>
      <x:c r="AB123" s="16" t="n">
        <x:v>0</x:v>
      </x:c>
      <x:c r="AC123" s="16" t="n">
        <x:v>0</x:v>
      </x:c>
      <x:c r="AD123" s="1" t="b">
        <x:v>0</x:v>
      </x:c>
    </x:row>
    <x:row r="124">
      <x:c r="A124" t="str">
        <x:v>SYN-0123</x:v>
      </x:c>
      <x:c r="B124" s="12" t="n">
        <x:v>46221</x:v>
      </x:c>
      <x:c r="C124" t="str">
        <x:v>Synthetic Yad2-like Listing</x:v>
      </x:c>
      <x:c r="D124" t="str">
        <x:v>https://example.com/listings/SYN-0123</x:v>
      </x:c>
      <x:c r="E124" t="str">
        <x:v>Second Hand</x:v>
      </x:c>
      <x:c r="F124" t="str"/>
      <x:c r="G124" t="str"/>
      <x:c r="H124" t="str">
        <x:v>Pinkas 64, Tel Aviv</x:v>
      </x:c>
      <x:c r="I124" t="str">
        <x:v>Tel Aviv</x:v>
      </x:c>
      <x:c r="J124" t="str">
        <x:v>Kikar HaMedina / New North</x:v>
      </x:c>
      <x:c r="K124" s="14" t="n">
        <x:v>0.45</x:v>
      </x:c>
      <x:c r="L124" t="str">
        <x:v>Apartment</x:v>
      </x:c>
      <x:c r="M124" t="n">
        <x:v>4</x:v>
      </x:c>
      <x:c r="N124" s="16" t="n">
        <x:v>106</x:v>
      </x:c>
      <x:c r="O124" t="n">
        <x:v>1</x:v>
      </x:c>
      <x:c r="P124" t="n">
        <x:v>6</x:v>
      </x:c>
      <x:c r="Q124" s="18" t="n">
        <x:v>6390000</x:v>
      </x:c>
      <x:c r="R124" s="18" t="n">
        <x:f>IFERROR(Q124/N124,"")</x:f>
        <x:v>60283.018867924526</x:v>
      </x:c>
      <x:c r="S124" t="n">
        <x:v>1968</x:v>
      </x:c>
      <x:c r="T124" t="n">
        <x:v>58</x:v>
      </x:c>
      <x:c r="U124" t="str">
        <x:v>Good</x:v>
      </x:c>
      <x:c r="V124" s="16" t="n">
        <x:v>0</x:v>
      </x:c>
      <x:c r="W124" t="str"/>
      <x:c r="X124" t="n">
        <x:v>0</x:v>
      </x:c>
      <x:c r="Y124" s="16" t="n">
        <x:v>0</x:v>
      </x:c>
      <x:c r="Z124" s="1" t="b">
        <x:v>1</x:v>
      </x:c>
      <x:c r="AA124" t="str">
        <x:v>South-West</x:v>
      </x:c>
      <x:c r="AB124" s="16" t="n">
        <x:v>0</x:v>
      </x:c>
      <x:c r="AC124" s="16" t="n">
        <x:v>0</x:v>
      </x:c>
      <x:c r="AD124" s="1" t="b">
        <x:v>0</x:v>
      </x:c>
    </x:row>
    <x:row r="125">
      <x:c r="A125" t="str">
        <x:v>SYN-0124</x:v>
      </x:c>
      <x:c r="B125" s="12" t="n">
        <x:v>46229</x:v>
      </x:c>
      <x:c r="C125" t="str">
        <x:v>Synthetic Yad2-like Listing</x:v>
      </x:c>
      <x:c r="D125" t="str">
        <x:v>https://example.com/listings/SYN-0124</x:v>
      </x:c>
      <x:c r="E125" t="str">
        <x:v>Second Hand</x:v>
      </x:c>
      <x:c r="F125" t="str"/>
      <x:c r="G125" t="str"/>
      <x:c r="H125" t="str">
        <x:v>Weizmann 118, Tel Aviv</x:v>
      </x:c>
      <x:c r="I125" t="str">
        <x:v>Tel Aviv</x:v>
      </x:c>
      <x:c r="J125" t="str">
        <x:v>Kikar HaMedina / New North</x:v>
      </x:c>
      <x:c r="K125" s="14" t="n">
        <x:v>0.38</x:v>
      </x:c>
      <x:c r="L125" t="str">
        <x:v>Apartment</x:v>
      </x:c>
      <x:c r="M125" t="n">
        <x:v>3</x:v>
      </x:c>
      <x:c r="N125" s="16" t="n">
        <x:v>66.7</x:v>
      </x:c>
      <x:c r="O125" t="n">
        <x:v>12</x:v>
      </x:c>
      <x:c r="P125" t="n">
        <x:v>13</x:v>
      </x:c>
      <x:c r="Q125" s="18" t="n">
        <x:v>4620000</x:v>
      </x:c>
      <x:c r="R125" s="18" t="n">
        <x:f>IFERROR(Q125/N125,"")</x:f>
        <x:v>69265.36731634183</x:v>
      </x:c>
      <x:c r="S125" t="n">
        <x:v>1997</x:v>
      </x:c>
      <x:c r="T125" t="n">
        <x:v>29</x:v>
      </x:c>
      <x:c r="U125" t="str">
        <x:v>Renovated</x:v>
      </x:c>
      <x:c r="V125" s="16" t="n">
        <x:v>0</x:v>
      </x:c>
      <x:c r="W125" t="str"/>
      <x:c r="X125" t="n">
        <x:v>0</x:v>
      </x:c>
      <x:c r="Y125" s="16" t="n">
        <x:v>0</x:v>
      </x:c>
      <x:c r="Z125" s="1" t="b">
        <x:v>1</x:v>
      </x:c>
      <x:c r="AA125" t="str">
        <x:v>East</x:v>
      </x:c>
      <x:c r="AB125" s="16" t="n">
        <x:v>0</x:v>
      </x:c>
      <x:c r="AC125" s="16" t="n">
        <x:v>0</x:v>
      </x:c>
      <x:c r="AD125" s="1" t="b">
        <x:v>1</x:v>
      </x:c>
    </x:row>
    <x:row r="126">
      <x:c r="A126" t="str">
        <x:v>SYN-0125</x:v>
      </x:c>
      <x:c r="B126" s="12" t="n">
        <x:v>46216</x:v>
      </x:c>
      <x:c r="C126" t="str">
        <x:v>Synthetic New-Project Listing</x:v>
      </x:c>
      <x:c r="D126" t="str">
        <x:v>https://example.com/listings/SYN-0125</x:v>
      </x:c>
      <x:c r="E126" t="str">
        <x:v>New Project</x:v>
      </x:c>
      <x:c r="F126" t="str">
        <x:v>Kikar Residence</x:v>
      </x:c>
      <x:c r="G126" t="str">
        <x:v>Sample Development A</x:v>
      </x:c>
      <x:c r="H126" t="str">
        <x:v>Weizmann 5, Tel Aviv</x:v>
      </x:c>
      <x:c r="I126" t="str">
        <x:v>Tel Aviv</x:v>
      </x:c>
      <x:c r="J126" t="str">
        <x:v>Kikar HaMedina / New North</x:v>
      </x:c>
      <x:c r="K126" s="14" t="n">
        <x:v>0.14</x:v>
      </x:c>
      <x:c r="L126" t="str">
        <x:v>Apartment</x:v>
      </x:c>
      <x:c r="M126" t="n">
        <x:v>3</x:v>
      </x:c>
      <x:c r="N126" s="16" t="n">
        <x:v>69.9</x:v>
      </x:c>
      <x:c r="O126" t="n">
        <x:v>4</x:v>
      </x:c>
      <x:c r="P126" t="n">
        <x:v>10</x:v>
      </x:c>
      <x:c r="Q126" s="18" t="n">
        <x:v>5920000</x:v>
      </x:c>
      <x:c r="R126" s="18" t="n">
        <x:f>IFERROR(Q126/N126,"")</x:f>
        <x:v>84692.41773962803</x:v>
      </x:c>
      <x:c r="S126" t="n">
        <x:v>2025</x:v>
      </x:c>
      <x:c r="T126" t="n">
        <x:v>1</x:v>
      </x:c>
      <x:c r="U126" t="str">
        <x:v>New</x:v>
      </x:c>
      <x:c r="V126" s="16" t="n">
        <x:v>17.2</x:v>
      </x:c>
      <x:c r="W126" t="str">
        <x:v>South-West</x:v>
      </x:c>
      <x:c r="X126" t="n">
        <x:v>1</x:v>
      </x:c>
      <x:c r="Y126" s="16" t="n">
        <x:v>0</x:v>
      </x:c>
      <x:c r="Z126" s="1" t="b">
        <x:v>1</x:v>
      </x:c>
      <x:c r="AA126" t="str">
        <x:v>South-West, North</x:v>
      </x:c>
      <x:c r="AB126" s="16" t="n">
        <x:v>0</x:v>
      </x:c>
      <x:c r="AC126" s="16" t="n">
        <x:v>0</x:v>
      </x:c>
      <x:c r="AD126" s="1" t="b">
        <x:v>0</x:v>
      </x:c>
    </x:row>
    <x:row r="127">
      <x:c r="A127" t="str">
        <x:v>SYN-0126</x:v>
      </x:c>
      <x:c r="B127" s="12" t="n">
        <x:v>46217</x:v>
      </x:c>
      <x:c r="C127" t="str">
        <x:v>Synthetic Yad2-like Listing</x:v>
      </x:c>
      <x:c r="D127" t="str">
        <x:v>https://example.com/listings/SYN-0126</x:v>
      </x:c>
      <x:c r="E127" t="str">
        <x:v>Second Hand</x:v>
      </x:c>
      <x:c r="F127" t="str"/>
      <x:c r="G127" t="str"/>
      <x:c r="H127" t="str">
        <x:v>Bavli 180, Tel Aviv</x:v>
      </x:c>
      <x:c r="I127" t="str">
        <x:v>Tel Aviv</x:v>
      </x:c>
      <x:c r="J127" t="str">
        <x:v>Kikar HaMedina / New North</x:v>
      </x:c>
      <x:c r="K127" s="14" t="n">
        <x:v>0.64</x:v>
      </x:c>
      <x:c r="L127" t="str">
        <x:v>Apartment</x:v>
      </x:c>
      <x:c r="M127" t="n">
        <x:v>5</x:v>
      </x:c>
      <x:c r="N127" s="16" t="n">
        <x:v>134.9</x:v>
      </x:c>
      <x:c r="O127" t="n">
        <x:v>4</x:v>
      </x:c>
      <x:c r="P127" t="n">
        <x:v>7</x:v>
      </x:c>
      <x:c r="Q127" s="18" t="n">
        <x:v>8180000</x:v>
      </x:c>
      <x:c r="R127" s="18" t="n">
        <x:f>IFERROR(Q127/N127,"")</x:f>
        <x:v>60637.50926612305</x:v>
      </x:c>
      <x:c r="S127" t="n">
        <x:v>1963</x:v>
      </x:c>
      <x:c r="T127" t="n">
        <x:v>63</x:v>
      </x:c>
      <x:c r="U127" t="str">
        <x:v>Good</x:v>
      </x:c>
      <x:c r="V127" s="16" t="n">
        <x:v>0</x:v>
      </x:c>
      <x:c r="W127" t="str"/>
      <x:c r="X127" t="n">
        <x:v>1</x:v>
      </x:c>
      <x:c r="Y127" s="16" t="n">
        <x:v>7.7</x:v>
      </x:c>
      <x:c r="Z127" s="1" t="b">
        <x:v>1</x:v>
      </x:c>
      <x:c r="AA127" t="str">
        <x:v>North-South</x:v>
      </x:c>
      <x:c r="AB127" s="16" t="n">
        <x:v>0</x:v>
      </x:c>
      <x:c r="AC127" s="16" t="n">
        <x:v>0</x:v>
      </x:c>
      <x:c r="AD127" s="1" t="b">
        <x:v>0</x:v>
      </x:c>
    </x:row>
    <x:row r="128">
      <x:c r="A128" t="str">
        <x:v>SYN-0127</x:v>
      </x:c>
      <x:c r="B128" s="12" t="n">
        <x:v>46256</x:v>
      </x:c>
      <x:c r="C128" t="str">
        <x:v>Synthetic Yad2-like Listing</x:v>
      </x:c>
      <x:c r="D128" t="str">
        <x:v>https://example.com/listings/SYN-0127</x:v>
      </x:c>
      <x:c r="E128" t="str">
        <x:v>Second Hand</x:v>
      </x:c>
      <x:c r="F128" t="str"/>
      <x:c r="G128" t="str"/>
      <x:c r="H128" t="str">
        <x:v>Jabotinsky 27, Tel Aviv</x:v>
      </x:c>
      <x:c r="I128" t="str">
        <x:v>Tel Aviv</x:v>
      </x:c>
      <x:c r="J128" t="str">
        <x:v>Kikar HaMedina / New North</x:v>
      </x:c>
      <x:c r="K128" s="14" t="n">
        <x:v>0.45</x:v>
      </x:c>
      <x:c r="L128" t="str">
        <x:v>Duplex</x:v>
      </x:c>
      <x:c r="M128" t="n">
        <x:v>2</x:v>
      </x:c>
      <x:c r="N128" s="16" t="n">
        <x:v>49.2</x:v>
      </x:c>
      <x:c r="O128" t="n">
        <x:v>10</x:v>
      </x:c>
      <x:c r="P128" t="n">
        <x:v>18</x:v>
      </x:c>
      <x:c r="Q128" s="18" t="n">
        <x:v>3140000</x:v>
      </x:c>
      <x:c r="R128" s="18" t="n">
        <x:f>IFERROR(Q128/N128,"")</x:f>
        <x:v>63821.13821138211</x:v>
      </x:c>
      <x:c r="S128" t="n">
        <x:v>1968</x:v>
      </x:c>
      <x:c r="T128" t="n">
        <x:v>58</x:v>
      </x:c>
      <x:c r="U128" t="str">
        <x:v>Good</x:v>
      </x:c>
      <x:c r="V128" s="16" t="n">
        <x:v>0</x:v>
      </x:c>
      <x:c r="W128" t="str"/>
      <x:c r="X128" t="n">
        <x:v>0</x:v>
      </x:c>
      <x:c r="Y128" s="16" t="n">
        <x:v>0</x:v>
      </x:c>
      <x:c r="Z128" s="1" t="b">
        <x:v>1</x:v>
      </x:c>
      <x:c r="AA128" t="str">
        <x:v>East</x:v>
      </x:c>
      <x:c r="AB128" s="16" t="n">
        <x:v>0</x:v>
      </x:c>
      <x:c r="AC128" s="16" t="n">
        <x:v>0</x:v>
      </x:c>
      <x:c r="AD128" s="1" t="b">
        <x:v>0</x:v>
      </x:c>
    </x:row>
    <x:row r="129">
      <x:c r="A129" t="str">
        <x:v>SYN-0128</x:v>
      </x:c>
      <x:c r="B129" s="12" t="n">
        <x:v>46226</x:v>
      </x:c>
      <x:c r="C129" t="str">
        <x:v>Synthetic Yad2-like Listing</x:v>
      </x:c>
      <x:c r="D129" t="str">
        <x:v>https://example.com/listings/SYN-0128</x:v>
      </x:c>
      <x:c r="E129" t="str">
        <x:v>Second Hand</x:v>
      </x:c>
      <x:c r="F129" t="str"/>
      <x:c r="G129" t="str"/>
      <x:c r="H129" t="str">
        <x:v>Jabotinsky 23, Tel Aviv</x:v>
      </x:c>
      <x:c r="I129" t="str">
        <x:v>Tel Aviv</x:v>
      </x:c>
      <x:c r="J129" t="str">
        <x:v>Kikar HaMedina / New North</x:v>
      </x:c>
      <x:c r="K129" s="14" t="n">
        <x:v>0.64</x:v>
      </x:c>
      <x:c r="L129" t="str">
        <x:v>Apartment</x:v>
      </x:c>
      <x:c r="M129" t="n">
        <x:v>2</x:v>
      </x:c>
      <x:c r="N129" s="16" t="n">
        <x:v>59.9</x:v>
      </x:c>
      <x:c r="O129" t="n">
        <x:v>2</x:v>
      </x:c>
      <x:c r="P129" t="n">
        <x:v>5</x:v>
      </x:c>
      <x:c r="Q129" s="18" t="n">
        <x:v>4670000</x:v>
      </x:c>
      <x:c r="R129" s="18" t="n">
        <x:f>IFERROR(Q129/N129,"")</x:f>
        <x:v>77963.27212020033</x:v>
      </x:c>
      <x:c r="S129" t="n">
        <x:v>1999</x:v>
      </x:c>
      <x:c r="T129" t="n">
        <x:v>27</x:v>
      </x:c>
      <x:c r="U129" t="str">
        <x:v>Good</x:v>
      </x:c>
      <x:c r="V129" s="16" t="n">
        <x:v>18.4</x:v>
      </x:c>
      <x:c r="W129" t="str">
        <x:v>South-West</x:v>
      </x:c>
      <x:c r="X129" t="n">
        <x:v>1</x:v>
      </x:c>
      <x:c r="Y129" s="16" t="n">
        <x:v>8.2</x:v>
      </x:c>
      <x:c r="Z129" s="1" t="b">
        <x:v>0</x:v>
      </x:c>
      <x:c r="AA129" t="str">
        <x:v>South-West, East</x:v>
      </x:c>
      <x:c r="AB129" s="16" t="n">
        <x:v>0</x:v>
      </x:c>
      <x:c r="AC129" s="16" t="n">
        <x:v>0</x:v>
      </x:c>
      <x:c r="AD129" s="1" t="b">
        <x:v>0</x:v>
      </x:c>
    </x:row>
    <x:row r="130">
      <x:c r="A130" t="str">
        <x:v>SYN-0129</x:v>
      </x:c>
      <x:c r="B130" s="12" t="n">
        <x:v>46235</x:v>
      </x:c>
      <x:c r="C130" t="str">
        <x:v>Synthetic Yad2-like Listing</x:v>
      </x:c>
      <x:c r="D130" t="str">
        <x:v>https://example.com/listings/SYN-0129</x:v>
      </x:c>
      <x:c r="E130" t="str">
        <x:v>Second Hand</x:v>
      </x:c>
      <x:c r="F130" t="str"/>
      <x:c r="G130" t="str"/>
      <x:c r="H130" t="str">
        <x:v>Jabotinsky 101, Tel Aviv</x:v>
      </x:c>
      <x:c r="I130" t="str">
        <x:v>Tel Aviv</x:v>
      </x:c>
      <x:c r="J130" t="str">
        <x:v>Kikar HaMedina / New North</x:v>
      </x:c>
      <x:c r="K130" s="14" t="n">
        <x:v>0.46</x:v>
      </x:c>
      <x:c r="L130" t="str">
        <x:v>Apartment</x:v>
      </x:c>
      <x:c r="M130" t="n">
        <x:v>3</x:v>
      </x:c>
      <x:c r="N130" s="16" t="n">
        <x:v>68.2</x:v>
      </x:c>
      <x:c r="O130" t="n">
        <x:v>4</x:v>
      </x:c>
      <x:c r="P130" t="n">
        <x:v>15</x:v>
      </x:c>
      <x:c r="Q130" s="18" t="n">
        <x:v>4540000</x:v>
      </x:c>
      <x:c r="R130" s="18" t="n">
        <x:f>IFERROR(Q130/N130,"")</x:f>
        <x:v>66568.91495601172</x:v>
      </x:c>
      <x:c r="S130" t="n">
        <x:v>2002</x:v>
      </x:c>
      <x:c r="T130" t="n">
        <x:v>24</x:v>
      </x:c>
      <x:c r="U130" t="str">
        <x:v>Needs Renovation</x:v>
      </x:c>
      <x:c r="V130" s="16" t="n">
        <x:v>17.6</x:v>
      </x:c>
      <x:c r="W130" t="str">
        <x:v>North-East</x:v>
      </x:c>
      <x:c r="X130" t="n">
        <x:v>0</x:v>
      </x:c>
      <x:c r="Y130" s="16" t="n">
        <x:v>0</x:v>
      </x:c>
      <x:c r="Z130" s="1" t="b">
        <x:v>1</x:v>
      </x:c>
      <x:c r="AA130" t="str">
        <x:v>North-East, South</x:v>
      </x:c>
      <x:c r="AB130" s="16" t="n">
        <x:v>0</x:v>
      </x:c>
      <x:c r="AC130" s="16" t="n">
        <x:v>0</x:v>
      </x:c>
      <x:c r="AD130" s="1" t="b">
        <x:v>0</x:v>
      </x:c>
    </x:row>
    <x:row r="131">
      <x:c r="A131" t="str">
        <x:v>SYN-0130</x:v>
      </x:c>
      <x:c r="B131" s="12" t="n">
        <x:v>46208</x:v>
      </x:c>
      <x:c r="C131" t="str">
        <x:v>Synthetic New-Project Listing</x:v>
      </x:c>
      <x:c r="D131" t="str">
        <x:v>https://example.com/listings/SYN-0130</x:v>
      </x:c>
      <x:c r="E131" t="str">
        <x:v>New Project</x:v>
      </x:c>
      <x:c r="F131" t="str">
        <x:v>North TLV Living</x:v>
      </x:c>
      <x:c r="G131" t="str">
        <x:v>Sample Development D</x:v>
      </x:c>
      <x:c r="H131" t="str">
        <x:v>Mosenzon 140, Tel Aviv</x:v>
      </x:c>
      <x:c r="I131" t="str">
        <x:v>Tel Aviv</x:v>
      </x:c>
      <x:c r="J131" t="str">
        <x:v>Kikar HaMedina / New North</x:v>
      </x:c>
      <x:c r="K131" s="14" t="n">
        <x:v>0.79</x:v>
      </x:c>
      <x:c r="L131" t="str">
        <x:v>Apartment</x:v>
      </x:c>
      <x:c r="M131" t="n">
        <x:v>3</x:v>
      </x:c>
      <x:c r="N131" s="16" t="n">
        <x:v>79.7</x:v>
      </x:c>
      <x:c r="O131" t="n">
        <x:v>1</x:v>
      </x:c>
      <x:c r="P131" t="n">
        <x:v>12</x:v>
      </x:c>
      <x:c r="Q131" s="18" t="n">
        <x:v>6260000</x:v>
      </x:c>
      <x:c r="R131" s="18" t="n">
        <x:f>IFERROR(Q131/N131,"")</x:f>
        <x:v>78544.54203262232</x:v>
      </x:c>
      <x:c r="S131" t="n">
        <x:v>2027</x:v>
      </x:c>
      <x:c r="T131" t="n">
        <x:v>0</x:v>
      </x:c>
      <x:c r="U131" t="str">
        <x:v>New</x:v>
      </x:c>
      <x:c r="V131" s="16" t="n">
        <x:v>13.8</x:v>
      </x:c>
      <x:c r="W131" t="str">
        <x:v>North-West</x:v>
      </x:c>
      <x:c r="X131" t="n">
        <x:v>1</x:v>
      </x:c>
      <x:c r="Y131" s="16" t="n">
        <x:v>0</x:v>
      </x:c>
      <x:c r="Z131" s="1" t="b">
        <x:v>1</x:v>
      </x:c>
      <x:c r="AA131" t="str">
        <x:v>North-West, North</x:v>
      </x:c>
      <x:c r="AB131" s="16" t="n">
        <x:v>0</x:v>
      </x:c>
      <x:c r="AC131" s="16" t="n">
        <x:v>0</x:v>
      </x:c>
      <x:c r="AD131" s="1" t="b">
        <x:v>0</x:v>
      </x:c>
    </x:row>
    <x:row r="132">
      <x:c r="A132" t="str">
        <x:v>SYN-0131</x:v>
      </x:c>
      <x:c r="B132" s="12" t="n">
        <x:v>46252</x:v>
      </x:c>
      <x:c r="C132" t="str">
        <x:v>Synthetic New-Project Listing</x:v>
      </x:c>
      <x:c r="D132" t="str">
        <x:v>https://example.com/listings/SYN-0131</x:v>
      </x:c>
      <x:c r="E132" t="str">
        <x:v>New Project</x:v>
      </x:c>
      <x:c r="F132" t="str">
        <x:v>Medina Boutique</x:v>
      </x:c>
      <x:c r="G132" t="str">
        <x:v>Sample Development E</x:v>
      </x:c>
      <x:c r="H132" t="str">
        <x:v>Pinkas 131, Tel Aviv</x:v>
      </x:c>
      <x:c r="I132" t="str">
        <x:v>Tel Aviv</x:v>
      </x:c>
      <x:c r="J132" t="str">
        <x:v>Kikar HaMedina / New North</x:v>
      </x:c>
      <x:c r="K132" s="14" t="n">
        <x:v>0.44</x:v>
      </x:c>
      <x:c r="L132" t="str">
        <x:v>Apartment</x:v>
      </x:c>
      <x:c r="M132" t="n">
        <x:v>3</x:v>
      </x:c>
      <x:c r="N132" s="16" t="n">
        <x:v>86.2</x:v>
      </x:c>
      <x:c r="O132" t="n">
        <x:v>12</x:v>
      </x:c>
      <x:c r="P132" t="n">
        <x:v>16</x:v>
      </x:c>
      <x:c r="Q132" s="18" t="n">
        <x:v>7430000</x:v>
      </x:c>
      <x:c r="R132" s="18" t="n">
        <x:f>IFERROR(Q132/N132,"")</x:f>
        <x:v>86194.89559164734</x:v>
      </x:c>
      <x:c r="S132" t="n">
        <x:v>2027</x:v>
      </x:c>
      <x:c r="T132" t="n">
        <x:v>0</x:v>
      </x:c>
      <x:c r="U132" t="str">
        <x:v>New</x:v>
      </x:c>
      <x:c r="V132" s="16" t="n">
        <x:v>16</x:v>
      </x:c>
      <x:c r="W132" t="str">
        <x:v>South-East</x:v>
      </x:c>
      <x:c r="X132" t="n">
        <x:v>1</x:v>
      </x:c>
      <x:c r="Y132" s="16" t="n">
        <x:v>7.5</x:v>
      </x:c>
      <x:c r="Z132" s="1" t="b">
        <x:v>1</x:v>
      </x:c>
      <x:c r="AA132" t="str">
        <x:v>South-East, East</x:v>
      </x:c>
      <x:c r="AB132" s="16" t="n">
        <x:v>0</x:v>
      </x:c>
      <x:c r="AC132" s="16" t="n">
        <x:v>0</x:v>
      </x:c>
      <x:c r="AD132" s="1" t="b">
        <x:v>0</x:v>
      </x:c>
    </x:row>
    <x:row r="133">
      <x:c r="A133" t="str">
        <x:v>SYN-0132</x:v>
      </x:c>
      <x:c r="B133" s="12" t="n">
        <x:v>46226</x:v>
      </x:c>
      <x:c r="C133" t="str">
        <x:v>Synthetic Yad2-like Listing</x:v>
      </x:c>
      <x:c r="D133" t="str">
        <x:v>https://example.com/listings/SYN-0132</x:v>
      </x:c>
      <x:c r="E133" t="str">
        <x:v>Second Hand</x:v>
      </x:c>
      <x:c r="F133" t="str"/>
      <x:c r="G133" t="str"/>
      <x:c r="H133" t="str">
        <x:v>Pinkas 31, Tel Aviv</x:v>
      </x:c>
      <x:c r="I133" t="str">
        <x:v>Tel Aviv</x:v>
      </x:c>
      <x:c r="J133" t="str">
        <x:v>Kikar HaMedina / New North</x:v>
      </x:c>
      <x:c r="K133" s="14" t="n">
        <x:v>0.52</x:v>
      </x:c>
      <x:c r="L133" t="str">
        <x:v>Apartment</x:v>
      </x:c>
      <x:c r="M133" t="n">
        <x:v>4</x:v>
      </x:c>
      <x:c r="N133" s="16" t="n">
        <x:v>89.3</x:v>
      </x:c>
      <x:c r="O133" t="n">
        <x:v>11</x:v>
      </x:c>
      <x:c r="P133" t="n">
        <x:v>15</x:v>
      </x:c>
      <x:c r="Q133" s="18" t="n">
        <x:v>6340000</x:v>
      </x:c>
      <x:c r="R133" s="18" t="n">
        <x:f>IFERROR(Q133/N133,"")</x:f>
        <x:v>70996.640537514</x:v>
      </x:c>
      <x:c r="S133" t="n">
        <x:v>1998</x:v>
      </x:c>
      <x:c r="T133" t="n">
        <x:v>28</x:v>
      </x:c>
      <x:c r="U133" t="str">
        <x:v>Renovated</x:v>
      </x:c>
      <x:c r="V133" s="16" t="n">
        <x:v>0</x:v>
      </x:c>
      <x:c r="W133" t="str"/>
      <x:c r="X133" t="n">
        <x:v>1</x:v>
      </x:c>
      <x:c r="Y133" s="16" t="n">
        <x:v>6</x:v>
      </x:c>
      <x:c r="Z133" s="1" t="b">
        <x:v>1</x:v>
      </x:c>
      <x:c r="AA133" t="str">
        <x:v>North</x:v>
      </x:c>
      <x:c r="AB133" s="16" t="n">
        <x:v>0</x:v>
      </x:c>
      <x:c r="AC133" s="16" t="n">
        <x:v>0</x:v>
      </x:c>
      <x:c r="AD133" s="1" t="b">
        <x:v>0</x:v>
      </x:c>
    </x:row>
    <x:row r="134">
      <x:c r="A134" t="str">
        <x:v>SYN-0133</x:v>
      </x:c>
      <x:c r="B134" s="12" t="n">
        <x:v>46240</x:v>
      </x:c>
      <x:c r="C134" t="str">
        <x:v>Synthetic Yad2-like Listing</x:v>
      </x:c>
      <x:c r="D134" t="str">
        <x:v>https://example.com/listings/SYN-0133</x:v>
      </x:c>
      <x:c r="E134" t="str">
        <x:v>Second Hand</x:v>
      </x:c>
      <x:c r="F134" t="str"/>
      <x:c r="G134" t="str"/>
      <x:c r="H134" t="str">
        <x:v>Biltmore 148, Tel Aviv</x:v>
      </x:c>
      <x:c r="I134" t="str">
        <x:v>Tel Aviv</x:v>
      </x:c>
      <x:c r="J134" t="str">
        <x:v>Kikar HaMedina / New North</x:v>
      </x:c>
      <x:c r="K134" s="14" t="n">
        <x:v>0.9</x:v>
      </x:c>
      <x:c r="L134" t="str">
        <x:v>Apartment</x:v>
      </x:c>
      <x:c r="M134" t="n">
        <x:v>4</x:v>
      </x:c>
      <x:c r="N134" s="16" t="n">
        <x:v>102.4</x:v>
      </x:c>
      <x:c r="O134" t="n">
        <x:v>2</x:v>
      </x:c>
      <x:c r="P134" t="n">
        <x:v>9</x:v>
      </x:c>
      <x:c r="Q134" s="18" t="n">
        <x:v>6430000</x:v>
      </x:c>
      <x:c r="R134" s="18" t="n">
        <x:f>IFERROR(Q134/N134,"")</x:f>
        <x:v>62792.96875</x:v>
      </x:c>
      <x:c r="S134" t="n">
        <x:v>1961</x:v>
      </x:c>
      <x:c r="T134" t="n">
        <x:v>65</x:v>
      </x:c>
      <x:c r="U134" t="str">
        <x:v>Renovated</x:v>
      </x:c>
      <x:c r="V134" s="16" t="n">
        <x:v>0</x:v>
      </x:c>
      <x:c r="W134" t="str"/>
      <x:c r="X134" t="n">
        <x:v>1</x:v>
      </x:c>
      <x:c r="Y134" s="16" t="n">
        <x:v>0</x:v>
      </x:c>
      <x:c r="Z134" s="1" t="b">
        <x:v>1</x:v>
      </x:c>
      <x:c r="AA134" t="str">
        <x:v>North-West</x:v>
      </x:c>
      <x:c r="AB134" s="16" t="n">
        <x:v>0</x:v>
      </x:c>
      <x:c r="AC134" s="16" t="n">
        <x:v>0</x:v>
      </x:c>
      <x:c r="AD134" s="1" t="b">
        <x:v>0</x:v>
      </x:c>
    </x:row>
    <x:row r="135">
      <x:c r="A135" t="str">
        <x:v>SYN-0134</x:v>
      </x:c>
      <x:c r="B135" s="12" t="n">
        <x:v>46208</x:v>
      </x:c>
      <x:c r="C135" t="str">
        <x:v>Synthetic New-Project Listing</x:v>
      </x:c>
      <x:c r="D135" t="str">
        <x:v>https://example.com/listings/SYN-0134</x:v>
      </x:c>
      <x:c r="E135" t="str">
        <x:v>New Project</x:v>
      </x:c>
      <x:c r="F135" t="str">
        <x:v>Kikar Residence</x:v>
      </x:c>
      <x:c r="G135" t="str">
        <x:v>Sample Development A</x:v>
      </x:c>
      <x:c r="H135" t="str">
        <x:v>Klay 168, Tel Aviv</x:v>
      </x:c>
      <x:c r="I135" t="str">
        <x:v>Tel Aviv</x:v>
      </x:c>
      <x:c r="J135" t="str">
        <x:v>Kikar HaMedina / New North</x:v>
      </x:c>
      <x:c r="K135" s="14" t="n">
        <x:v>0.63</x:v>
      </x:c>
      <x:c r="L135" t="str">
        <x:v>Apartment</x:v>
      </x:c>
      <x:c r="M135" t="n">
        <x:v>2</x:v>
      </x:c>
      <x:c r="N135" s="16" t="n">
        <x:v>56.8</x:v>
      </x:c>
      <x:c r="O135" t="n">
        <x:v>9</x:v>
      </x:c>
      <x:c r="P135" t="n">
        <x:v>11</x:v>
      </x:c>
      <x:c r="Q135" s="18" t="n">
        <x:v>4950000</x:v>
      </x:c>
      <x:c r="R135" s="18" t="n">
        <x:f>IFERROR(Q135/N135,"")</x:f>
        <x:v>87147.88732394367</x:v>
      </x:c>
      <x:c r="S135" t="n">
        <x:v>2025</x:v>
      </x:c>
      <x:c r="T135" t="n">
        <x:v>1</x:v>
      </x:c>
      <x:c r="U135" t="str">
        <x:v>New</x:v>
      </x:c>
      <x:c r="V135" s="16" t="n">
        <x:v>21.8</x:v>
      </x:c>
      <x:c r="W135" t="str">
        <x:v>West</x:v>
      </x:c>
      <x:c r="X135" t="n">
        <x:v>1</x:v>
      </x:c>
      <x:c r="Y135" s="16" t="n">
        <x:v>9.4</x:v>
      </x:c>
      <x:c r="Z135" s="1" t="b">
        <x:v>1</x:v>
      </x:c>
      <x:c r="AA135" t="str">
        <x:v>West</x:v>
      </x:c>
      <x:c r="AB135" s="16" t="n">
        <x:v>0</x:v>
      </x:c>
      <x:c r="AC135" s="16" t="n">
        <x:v>0</x:v>
      </x:c>
      <x:c r="AD135" s="1" t="b">
        <x:v>0</x:v>
      </x:c>
    </x:row>
    <x:row r="136">
      <x:c r="A136" t="str">
        <x:v>SYN-0135</x:v>
      </x:c>
      <x:c r="B136" s="12" t="n">
        <x:v>46253</x:v>
      </x:c>
      <x:c r="C136" t="str">
        <x:v>Synthetic Yad2-like Listing</x:v>
      </x:c>
      <x:c r="D136" t="str">
        <x:v>https://example.com/listings/SYN-0135</x:v>
      </x:c>
      <x:c r="E136" t="str">
        <x:v>Second Hand</x:v>
      </x:c>
      <x:c r="F136" t="str"/>
      <x:c r="G136" t="str"/>
      <x:c r="H136" t="str">
        <x:v>Helsinki 78, Tel Aviv</x:v>
      </x:c>
      <x:c r="I136" t="str">
        <x:v>Tel Aviv</x:v>
      </x:c>
      <x:c r="J136" t="str">
        <x:v>Kikar HaMedina / New North</x:v>
      </x:c>
      <x:c r="K136" s="14" t="n">
        <x:v>0.05</x:v>
      </x:c>
      <x:c r="L136" t="str">
        <x:v>Garden Apartment</x:v>
      </x:c>
      <x:c r="M136" t="n">
        <x:v>2</x:v>
      </x:c>
      <x:c r="N136" s="16" t="n">
        <x:v>55.4</x:v>
      </x:c>
      <x:c r="O136" t="n">
        <x:v>0</x:v>
      </x:c>
      <x:c r="P136" t="n">
        <x:v>6</x:v>
      </x:c>
      <x:c r="Q136" s="18" t="n">
        <x:v>5120000</x:v>
      </x:c>
      <x:c r="R136" s="18" t="n">
        <x:f>IFERROR(Q136/N136,"")</x:f>
        <x:v>92418.7725631769</x:v>
      </x:c>
      <x:c r="S136" t="n">
        <x:v>1965</x:v>
      </x:c>
      <x:c r="T136" t="n">
        <x:v>61</x:v>
      </x:c>
      <x:c r="U136" t="str">
        <x:v>Good</x:v>
      </x:c>
      <x:c r="V136" s="16" t="n">
        <x:v>61.1</x:v>
      </x:c>
      <x:c r="W136" t="str">
        <x:v>South-West</x:v>
      </x:c>
      <x:c r="X136" t="n">
        <x:v>0</x:v>
      </x:c>
      <x:c r="Y136" s="16" t="n">
        <x:v>0</x:v>
      </x:c>
      <x:c r="Z136" s="1" t="b">
        <x:v>1</x:v>
      </x:c>
      <x:c r="AA136" t="str">
        <x:v>South-West, North</x:v>
      </x:c>
      <x:c r="AB136" s="16" t="n">
        <x:v>59.2</x:v>
      </x:c>
      <x:c r="AC136" s="16" t="n">
        <x:v>0</x:v>
      </x:c>
      <x:c r="AD136" s="1" t="b">
        <x:v>0</x:v>
      </x:c>
    </x:row>
    <x:row r="137">
      <x:c r="A137" t="str">
        <x:v>SYN-0136</x:v>
      </x:c>
      <x:c r="B137" s="12" t="n">
        <x:v>46207</x:v>
      </x:c>
      <x:c r="C137" t="str">
        <x:v>Synthetic Yad2-like Listing</x:v>
      </x:c>
      <x:c r="D137" t="str">
        <x:v>https://example.com/listings/SYN-0136</x:v>
      </x:c>
      <x:c r="E137" t="str">
        <x:v>Second Hand</x:v>
      </x:c>
      <x:c r="F137" t="str"/>
      <x:c r="G137" t="str"/>
      <x:c r="H137" t="str">
        <x:v>Biltmore 79, Tel Aviv</x:v>
      </x:c>
      <x:c r="I137" t="str">
        <x:v>Tel Aviv</x:v>
      </x:c>
      <x:c r="J137" t="str">
        <x:v>Kikar HaMedina / New North</x:v>
      </x:c>
      <x:c r="K137" s="14" t="n">
        <x:v>0.95</x:v>
      </x:c>
      <x:c r="L137" t="str">
        <x:v>Penthouse</x:v>
      </x:c>
      <x:c r="M137" t="n">
        <x:v>4</x:v>
      </x:c>
      <x:c r="N137" s="16" t="n">
        <x:v>98.9</x:v>
      </x:c>
      <x:c r="O137" t="n">
        <x:v>12</x:v>
      </x:c>
      <x:c r="P137" t="n">
        <x:v>14</x:v>
      </x:c>
      <x:c r="Q137" s="18" t="n">
        <x:v>7830000</x:v>
      </x:c>
      <x:c r="R137" s="18" t="n">
        <x:f>IFERROR(Q137/N137,"")</x:f>
        <x:v>79170.87967644085</x:v>
      </x:c>
      <x:c r="S137" t="n">
        <x:v>1981</x:v>
      </x:c>
      <x:c r="T137" t="n">
        <x:v>45</x:v>
      </x:c>
      <x:c r="U137" t="str">
        <x:v>Renovated</x:v>
      </x:c>
      <x:c r="V137" s="16" t="n">
        <x:v>21</x:v>
      </x:c>
      <x:c r="W137" t="str">
        <x:v>North-West</x:v>
      </x:c>
      <x:c r="X137" t="n">
        <x:v>1</x:v>
      </x:c>
      <x:c r="Y137" s="16" t="n">
        <x:v>0</x:v>
      </x:c>
      <x:c r="Z137" s="1" t="b">
        <x:v>1</x:v>
      </x:c>
      <x:c r="AA137" t="str">
        <x:v>North-West, West</x:v>
      </x:c>
      <x:c r="AB137" s="16" t="n">
        <x:v>0</x:v>
      </x:c>
      <x:c r="AC137" s="16" t="n">
        <x:v>22.6</x:v>
      </x:c>
      <x:c r="AD137" s="1" t="b">
        <x:v>0</x:v>
      </x:c>
    </x:row>
    <x:row r="138">
      <x:c r="A138" t="str">
        <x:v>SYN-0137</x:v>
      </x:c>
      <x:c r="B138" s="12" t="n">
        <x:v>46255</x:v>
      </x:c>
      <x:c r="C138" t="str">
        <x:v>Synthetic Yad2-like Listing</x:v>
      </x:c>
      <x:c r="D138" t="str">
        <x:v>https://example.com/listings/SYN-0137</x:v>
      </x:c>
      <x:c r="E138" t="str">
        <x:v>Second Hand</x:v>
      </x:c>
      <x:c r="F138" t="str"/>
      <x:c r="G138" t="str"/>
      <x:c r="H138" t="str">
        <x:v>Biltmore 112, Tel Aviv</x:v>
      </x:c>
      <x:c r="I138" t="str">
        <x:v>Tel Aviv</x:v>
      </x:c>
      <x:c r="J138" t="str">
        <x:v>Kikar HaMedina / New North</x:v>
      </x:c>
      <x:c r="K138" s="14" t="n">
        <x:v>0.99</x:v>
      </x:c>
      <x:c r="L138" t="str">
        <x:v>Garden Apartment</x:v>
      </x:c>
      <x:c r="M138" t="n">
        <x:v>2</x:v>
      </x:c>
      <x:c r="N138" s="16" t="n">
        <x:v>49.9</x:v>
      </x:c>
      <x:c r="O138" t="n">
        <x:v>0</x:v>
      </x:c>
      <x:c r="P138" t="n">
        <x:v>18</x:v>
      </x:c>
      <x:c r="Q138" s="18" t="n">
        <x:v>5170000</x:v>
      </x:c>
      <x:c r="R138" s="18" t="n">
        <x:f>IFERROR(Q138/N138,"")</x:f>
        <x:v>103607.21442885773</x:v>
      </x:c>
      <x:c r="S138" t="n">
        <x:v>1992</x:v>
      </x:c>
      <x:c r="T138" t="n">
        <x:v>34</x:v>
      </x:c>
      <x:c r="U138" t="str">
        <x:v>Renovated</x:v>
      </x:c>
      <x:c r="V138" s="16" t="n">
        <x:v>61.8</x:v>
      </x:c>
      <x:c r="W138" t="str">
        <x:v>North-West</x:v>
      </x:c>
      <x:c r="X138" t="n">
        <x:v>1</x:v>
      </x:c>
      <x:c r="Y138" s="16" t="n">
        <x:v>0</x:v>
      </x:c>
      <x:c r="Z138" s="1" t="b">
        <x:v>1</x:v>
      </x:c>
      <x:c r="AA138" t="str">
        <x:v>North-West, North</x:v>
      </x:c>
      <x:c r="AB138" s="16" t="n">
        <x:v>49</x:v>
      </x:c>
      <x:c r="AC138" s="16" t="n">
        <x:v>0</x:v>
      </x:c>
      <x:c r="AD138" s="1" t="b">
        <x:v>0</x:v>
      </x:c>
    </x:row>
    <x:row r="139">
      <x:c r="A139" t="str">
        <x:v>SYN-0138</x:v>
      </x:c>
      <x:c r="B139" s="12" t="n">
        <x:v>46211</x:v>
      </x:c>
      <x:c r="C139" t="str">
        <x:v>Synthetic New-Project Listing</x:v>
      </x:c>
      <x:c r="D139" t="str">
        <x:v>https://example.com/listings/SYN-0138</x:v>
      </x:c>
      <x:c r="E139" t="str">
        <x:v>New Project</x:v>
      </x:c>
      <x:c r="F139" t="str">
        <x:v>North TLV Living</x:v>
      </x:c>
      <x:c r="G139" t="str">
        <x:v>Sample Development D</x:v>
      </x:c>
      <x:c r="H139" t="str">
        <x:v>Mosenzon 105, Tel Aviv</x:v>
      </x:c>
      <x:c r="I139" t="str">
        <x:v>Tel Aviv</x:v>
      </x:c>
      <x:c r="J139" t="str">
        <x:v>Kikar HaMedina / New North</x:v>
      </x:c>
      <x:c r="K139" s="14" t="n">
        <x:v>0.85</x:v>
      </x:c>
      <x:c r="L139" t="str">
        <x:v>Apartment</x:v>
      </x:c>
      <x:c r="M139" t="n">
        <x:v>5</x:v>
      </x:c>
      <x:c r="N139" s="16" t="n">
        <x:v>120.5</x:v>
      </x:c>
      <x:c r="O139" t="n">
        <x:v>7</x:v>
      </x:c>
      <x:c r="P139" t="n">
        <x:v>12</x:v>
      </x:c>
      <x:c r="Q139" s="18" t="n">
        <x:v>8890000</x:v>
      </x:c>
      <x:c r="R139" s="18" t="n">
        <x:f>IFERROR(Q139/N139,"")</x:f>
        <x:v>73775.9336099585</x:v>
      </x:c>
      <x:c r="S139" t="n">
        <x:v>2026</x:v>
      </x:c>
      <x:c r="T139" t="n">
        <x:v>0</x:v>
      </x:c>
      <x:c r="U139" t="str">
        <x:v>New</x:v>
      </x:c>
      <x:c r="V139" s="16" t="n">
        <x:v>0</x:v>
      </x:c>
      <x:c r="W139" t="str"/>
      <x:c r="X139" t="n">
        <x:v>1</x:v>
      </x:c>
      <x:c r="Y139" s="16" t="n">
        <x:v>3.7</x:v>
      </x:c>
      <x:c r="Z139" s="1" t="b">
        <x:v>1</x:v>
      </x:c>
      <x:c r="AA139" t="str">
        <x:v>North</x:v>
      </x:c>
      <x:c r="AB139" s="16" t="n">
        <x:v>0</x:v>
      </x:c>
      <x:c r="AC139" s="16" t="n">
        <x:v>0</x:v>
      </x:c>
      <x:c r="AD139" s="1" t="b">
        <x:v>0</x:v>
      </x:c>
    </x:row>
    <x:row r="140">
      <x:c r="A140" t="str">
        <x:v>SYN-0139</x:v>
      </x:c>
      <x:c r="B140" s="12" t="n">
        <x:v>46254</x:v>
      </x:c>
      <x:c r="C140" t="str">
        <x:v>Synthetic New-Project Listing</x:v>
      </x:c>
      <x:c r="D140" t="str">
        <x:v>https://example.com/listings/SYN-0139</x:v>
      </x:c>
      <x:c r="E140" t="str">
        <x:v>New Project</x:v>
      </x:c>
      <x:c r="F140" t="str">
        <x:v>Helsinki Gardens</x:v>
      </x:c>
      <x:c r="G140" t="str">
        <x:v>Sample Development C</x:v>
      </x:c>
      <x:c r="H140" t="str">
        <x:v>Bavli 104, Tel Aviv</x:v>
      </x:c>
      <x:c r="I140" t="str">
        <x:v>Tel Aviv</x:v>
      </x:c>
      <x:c r="J140" t="str">
        <x:v>Kikar HaMedina / New North</x:v>
      </x:c>
      <x:c r="K140" s="14" t="n">
        <x:v>0.77</x:v>
      </x:c>
      <x:c r="L140" t="str">
        <x:v>Apartment</x:v>
      </x:c>
      <x:c r="M140" t="n">
        <x:v>5</x:v>
      </x:c>
      <x:c r="N140" s="16" t="n">
        <x:v>119.9</x:v>
      </x:c>
      <x:c r="O140" t="n">
        <x:v>11</x:v>
      </x:c>
      <x:c r="P140" t="n">
        <x:v>17</x:v>
      </x:c>
      <x:c r="Q140" s="18" t="n">
        <x:v>10070000</x:v>
      </x:c>
      <x:c r="R140" s="18" t="n">
        <x:f>IFERROR(Q140/N140,"")</x:f>
        <x:v>83986.65554628857</x:v>
      </x:c>
      <x:c r="S140" t="n">
        <x:v>2027</x:v>
      </x:c>
      <x:c r="T140" t="n">
        <x:v>0</x:v>
      </x:c>
      <x:c r="U140" t="str">
        <x:v>New</x:v>
      </x:c>
      <x:c r="V140" s="16" t="n">
        <x:v>28.6</x:v>
      </x:c>
      <x:c r="W140" t="str">
        <x:v>East</x:v>
      </x:c>
      <x:c r="X140" t="n">
        <x:v>2</x:v>
      </x:c>
      <x:c r="Y140" s="16" t="n">
        <x:v>6.6</x:v>
      </x:c>
      <x:c r="Z140" s="1" t="b">
        <x:v>1</x:v>
      </x:c>
      <x:c r="AA140" t="str">
        <x:v>East, East</x:v>
      </x:c>
      <x:c r="AB140" s="16" t="n">
        <x:v>0</x:v>
      </x:c>
      <x:c r="AC140" s="16" t="n">
        <x:v>0</x:v>
      </x:c>
      <x:c r="AD140" s="1" t="b">
        <x:v>0</x:v>
      </x:c>
    </x:row>
    <x:row r="141">
      <x:c r="A141" t="str">
        <x:v>SYN-0140</x:v>
      </x:c>
      <x:c r="B141" s="12" t="n">
        <x:v>46206</x:v>
      </x:c>
      <x:c r="C141" t="str">
        <x:v>Synthetic New-Project Listing</x:v>
      </x:c>
      <x:c r="D141" t="str">
        <x:v>https://example.com/listings/SYN-0140</x:v>
      </x:c>
      <x:c r="E141" t="str">
        <x:v>New Project</x:v>
      </x:c>
      <x:c r="F141" t="str">
        <x:v>Kikar Residence</x:v>
      </x:c>
      <x:c r="G141" t="str">
        <x:v>Sample Development A</x:v>
      </x:c>
      <x:c r="H141" t="str">
        <x:v>Jabotinsky 166, Tel Aviv</x:v>
      </x:c>
      <x:c r="I141" t="str">
        <x:v>Tel Aviv</x:v>
      </x:c>
      <x:c r="J141" t="str">
        <x:v>Kikar HaMedina / New North</x:v>
      </x:c>
      <x:c r="K141" s="14" t="n">
        <x:v>0.51</x:v>
      </x:c>
      <x:c r="L141" t="str">
        <x:v>Apartment</x:v>
      </x:c>
      <x:c r="M141" t="n">
        <x:v>2</x:v>
      </x:c>
      <x:c r="N141" s="16" t="n">
        <x:v>57.6</x:v>
      </x:c>
      <x:c r="O141" t="n">
        <x:v>3</x:v>
      </x:c>
      <x:c r="P141" t="n">
        <x:v>6</x:v>
      </x:c>
      <x:c r="Q141" s="18" t="n">
        <x:v>4980000</x:v>
      </x:c>
      <x:c r="R141" s="18" t="n">
        <x:f>IFERROR(Q141/N141,"")</x:f>
        <x:v>86458.33333333333</x:v>
      </x:c>
      <x:c r="S141" t="n">
        <x:v>2025</x:v>
      </x:c>
      <x:c r="T141" t="n">
        <x:v>1</x:v>
      </x:c>
      <x:c r="U141" t="str">
        <x:v>New</x:v>
      </x:c>
      <x:c r="V141" s="16" t="n">
        <x:v>19</x:v>
      </x:c>
      <x:c r="W141" t="str">
        <x:v>South</x:v>
      </x:c>
      <x:c r="X141" t="n">
        <x:v>1</x:v>
      </x:c>
      <x:c r="Y141" s="16" t="n">
        <x:v>8.7</x:v>
      </x:c>
      <x:c r="Z141" s="1" t="b">
        <x:v>1</x:v>
      </x:c>
      <x:c r="AA141" t="str">
        <x:v>South, South</x:v>
      </x:c>
      <x:c r="AB141" s="16" t="n">
        <x:v>0</x:v>
      </x:c>
      <x:c r="AC141" s="16" t="n">
        <x:v>0</x:v>
      </x:c>
      <x:c r="AD141" s="1" t="b">
        <x:v>0</x:v>
      </x:c>
    </x:row>
    <x:row r="142">
      <x:c r="A142" t="str">
        <x:v>SYN-0141</x:v>
      </x:c>
      <x:c r="B142" s="12" t="n">
        <x:v>46221</x:v>
      </x:c>
      <x:c r="C142" t="str">
        <x:v>Synthetic Yad2-like Listing</x:v>
      </x:c>
      <x:c r="D142" t="str">
        <x:v>https://example.com/listings/SYN-0141</x:v>
      </x:c>
      <x:c r="E142" t="str">
        <x:v>Second Hand</x:v>
      </x:c>
      <x:c r="F142" t="str"/>
      <x:c r="G142" t="str"/>
      <x:c r="H142" t="str">
        <x:v>Helsinki 166, Tel Aviv</x:v>
      </x:c>
      <x:c r="I142" t="str">
        <x:v>Tel Aviv</x:v>
      </x:c>
      <x:c r="J142" t="str">
        <x:v>Kikar HaMedina / New North</x:v>
      </x:c>
      <x:c r="K142" s="14" t="n">
        <x:v>0.05</x:v>
      </x:c>
      <x:c r="L142" t="str">
        <x:v>Apartment</x:v>
      </x:c>
      <x:c r="M142" t="n">
        <x:v>2</x:v>
      </x:c>
      <x:c r="N142" s="16" t="n">
        <x:v>58.9</x:v>
      </x:c>
      <x:c r="O142" t="n">
        <x:v>6</x:v>
      </x:c>
      <x:c r="P142" t="n">
        <x:v>18</x:v>
      </x:c>
      <x:c r="Q142" s="18" t="n">
        <x:v>4000000</x:v>
      </x:c>
      <x:c r="R142" s="18" t="n">
        <x:f>IFERROR(Q142/N142,"")</x:f>
        <x:v>67911.71477079796</x:v>
      </x:c>
      <x:c r="S142" t="n">
        <x:v>1988</x:v>
      </x:c>
      <x:c r="T142" t="n">
        <x:v>38</x:v>
      </x:c>
      <x:c r="U142" t="str">
        <x:v>Needs Renovation</x:v>
      </x:c>
      <x:c r="V142" s="16" t="n">
        <x:v>18.9</x:v>
      </x:c>
      <x:c r="W142" t="str">
        <x:v>East</x:v>
      </x:c>
      <x:c r="X142" t="n">
        <x:v>1</x:v>
      </x:c>
      <x:c r="Y142" s="16" t="n">
        <x:v>0</x:v>
      </x:c>
      <x:c r="Z142" s="1" t="b">
        <x:v>1</x:v>
      </x:c>
      <x:c r="AA142" t="str">
        <x:v>East</x:v>
      </x:c>
      <x:c r="AB142" s="16" t="n">
        <x:v>0</x:v>
      </x:c>
      <x:c r="AC142" s="16" t="n">
        <x:v>0</x:v>
      </x:c>
      <x:c r="AD142" s="1" t="b">
        <x:v>0</x:v>
      </x:c>
    </x:row>
    <x:row r="143">
      <x:c r="A143" t="str">
        <x:v>SYN-0142</x:v>
      </x:c>
      <x:c r="B143" s="12" t="n">
        <x:v>46205</x:v>
      </x:c>
      <x:c r="C143" t="str">
        <x:v>Synthetic New-Project Listing</x:v>
      </x:c>
      <x:c r="D143" t="str">
        <x:v>https://example.com/listings/SYN-0142</x:v>
      </x:c>
      <x:c r="E143" t="str">
        <x:v>New Project</x:v>
      </x:c>
      <x:c r="F143" t="str">
        <x:v>Helsinki Gardens</x:v>
      </x:c>
      <x:c r="G143" t="str">
        <x:v>Sample Development C</x:v>
      </x:c>
      <x:c r="H143" t="str">
        <x:v>Lissin 140, Tel Aviv</x:v>
      </x:c>
      <x:c r="I143" t="str">
        <x:v>Tel Aviv</x:v>
      </x:c>
      <x:c r="J143" t="str">
        <x:v>Kikar HaMedina / New North</x:v>
      </x:c>
      <x:c r="K143" s="14" t="n">
        <x:v>0.58</x:v>
      </x:c>
      <x:c r="L143" t="str">
        <x:v>Apartment</x:v>
      </x:c>
      <x:c r="M143" t="n">
        <x:v>3</x:v>
      </x:c>
      <x:c r="N143" s="16" t="n">
        <x:v>79.8</x:v>
      </x:c>
      <x:c r="O143" t="n">
        <x:v>12</x:v>
      </x:c>
      <x:c r="P143" t="n">
        <x:v>17</x:v>
      </x:c>
      <x:c r="Q143" s="18" t="n">
        <x:v>6270000</x:v>
      </x:c>
      <x:c r="R143" s="18" t="n">
        <x:f>IFERROR(Q143/N143,"")</x:f>
        <x:v>78571.42857142858</x:v>
      </x:c>
      <x:c r="S143" t="n">
        <x:v>2027</x:v>
      </x:c>
      <x:c r="T143" t="n">
        <x:v>0</x:v>
      </x:c>
      <x:c r="U143" t="str">
        <x:v>New</x:v>
      </x:c>
      <x:c r="V143" s="16" t="n">
        <x:v>0</x:v>
      </x:c>
      <x:c r="W143" t="str"/>
      <x:c r="X143" t="n">
        <x:v>1</x:v>
      </x:c>
      <x:c r="Y143" s="16" t="n">
        <x:v>5.7</x:v>
      </x:c>
      <x:c r="Z143" s="1" t="b">
        <x:v>1</x:v>
      </x:c>
      <x:c r="AA143" t="str">
        <x:v>North-South</x:v>
      </x:c>
      <x:c r="AB143" s="16" t="n">
        <x:v>0</x:v>
      </x:c>
      <x:c r="AC143" s="16" t="n">
        <x:v>0</x:v>
      </x:c>
      <x:c r="AD143" s="1" t="b">
        <x:v>0</x:v>
      </x:c>
    </x:row>
    <x:row r="144">
      <x:c r="A144" t="str">
        <x:v>SYN-0143</x:v>
      </x:c>
      <x:c r="B144" s="12" t="n">
        <x:v>46255</x:v>
      </x:c>
      <x:c r="C144" t="str">
        <x:v>Synthetic New-Project Listing</x:v>
      </x:c>
      <x:c r="D144" t="str">
        <x:v>https://example.com/listings/SYN-0143</x:v>
      </x:c>
      <x:c r="E144" t="str">
        <x:v>New Project</x:v>
      </x:c>
      <x:c r="F144" t="str">
        <x:v>Weizmann Urban</x:v>
      </x:c>
      <x:c r="G144" t="str">
        <x:v>Sample Development B</x:v>
      </x:c>
      <x:c r="H144" t="str">
        <x:v>Weizmann 137, Tel Aviv</x:v>
      </x:c>
      <x:c r="I144" t="str">
        <x:v>Tel Aviv</x:v>
      </x:c>
      <x:c r="J144" t="str">
        <x:v>Kikar HaMedina / New North</x:v>
      </x:c>
      <x:c r="K144" s="14" t="n">
        <x:v>0.25</x:v>
      </x:c>
      <x:c r="L144" t="str">
        <x:v>Duplex</x:v>
      </x:c>
      <x:c r="M144" t="n">
        <x:v>3</x:v>
      </x:c>
      <x:c r="N144" s="16" t="n">
        <x:v>85.6</x:v>
      </x:c>
      <x:c r="O144" t="n">
        <x:v>12</x:v>
      </x:c>
      <x:c r="P144" t="n">
        <x:v>15</x:v>
      </x:c>
      <x:c r="Q144" s="18" t="n">
        <x:v>6910000</x:v>
      </x:c>
      <x:c r="R144" s="18" t="n">
        <x:f>IFERROR(Q144/N144,"")</x:f>
        <x:v>80724.29906542056</x:v>
      </x:c>
      <x:c r="S144" t="n">
        <x:v>2025</x:v>
      </x:c>
      <x:c r="T144" t="n">
        <x:v>1</x:v>
      </x:c>
      <x:c r="U144" t="str">
        <x:v>New</x:v>
      </x:c>
      <x:c r="V144" s="16" t="n">
        <x:v>0</x:v>
      </x:c>
      <x:c r="W144" t="str"/>
      <x:c r="X144" t="n">
        <x:v>1</x:v>
      </x:c>
      <x:c r="Y144" s="16" t="n">
        <x:v>0</x:v>
      </x:c>
      <x:c r="Z144" s="1" t="b">
        <x:v>1</x:v>
      </x:c>
      <x:c r="AA144" t="str">
        <x:v>South</x:v>
      </x:c>
      <x:c r="AB144" s="16" t="n">
        <x:v>0</x:v>
      </x:c>
      <x:c r="AC144" s="16" t="n">
        <x:v>0</x:v>
      </x:c>
      <x:c r="AD144" s="1" t="b">
        <x:v>0</x:v>
      </x:c>
    </x:row>
    <x:row r="145">
      <x:c r="A145" t="str">
        <x:v>SYN-0144</x:v>
      </x:c>
      <x:c r="B145" s="12" t="n">
        <x:v>46215</x:v>
      </x:c>
      <x:c r="C145" t="str">
        <x:v>Synthetic New-Project Listing</x:v>
      </x:c>
      <x:c r="D145" t="str">
        <x:v>https://example.com/listings/SYN-0144</x:v>
      </x:c>
      <x:c r="E145" t="str">
        <x:v>New Project</x:v>
      </x:c>
      <x:c r="F145" t="str">
        <x:v>Medina Boutique</x:v>
      </x:c>
      <x:c r="G145" t="str">
        <x:v>Sample Development E</x:v>
      </x:c>
      <x:c r="H145" t="str">
        <x:v>Pinkas 145, Tel Aviv</x:v>
      </x:c>
      <x:c r="I145" t="str">
        <x:v>Tel Aviv</x:v>
      </x:c>
      <x:c r="J145" t="str">
        <x:v>Kikar HaMedina / New North</x:v>
      </x:c>
      <x:c r="K145" s="14" t="n">
        <x:v>0.51</x:v>
      </x:c>
      <x:c r="L145" t="str">
        <x:v>Apartment</x:v>
      </x:c>
      <x:c r="M145" t="n">
        <x:v>5</x:v>
      </x:c>
      <x:c r="N145" s="16" t="n">
        <x:v>137.8</x:v>
      </x:c>
      <x:c r="O145" t="n">
        <x:v>2</x:v>
      </x:c>
      <x:c r="P145" t="n">
        <x:v>6</x:v>
      </x:c>
      <x:c r="Q145" s="18" t="n">
        <x:v>11600000</x:v>
      </x:c>
      <x:c r="R145" s="18" t="n">
        <x:f>IFERROR(Q145/N145,"")</x:f>
        <x:v>84179.97097242379</x:v>
      </x:c>
      <x:c r="S145" t="n">
        <x:v>2027</x:v>
      </x:c>
      <x:c r="T145" t="n">
        <x:v>0</x:v>
      </x:c>
      <x:c r="U145" t="str">
        <x:v>New</x:v>
      </x:c>
      <x:c r="V145" s="16" t="n">
        <x:v>25.7</x:v>
      </x:c>
      <x:c r="W145" t="str">
        <x:v>North-West</x:v>
      </x:c>
      <x:c r="X145" t="n">
        <x:v>2</x:v>
      </x:c>
      <x:c r="Y145" s="16" t="n">
        <x:v>0</x:v>
      </x:c>
      <x:c r="Z145" s="1" t="b">
        <x:v>1</x:v>
      </x:c>
      <x:c r="AA145" t="str">
        <x:v>North-West, North</x:v>
      </x:c>
      <x:c r="AB145" s="16" t="n">
        <x:v>0</x:v>
      </x:c>
      <x:c r="AC145" s="16" t="n">
        <x:v>0</x:v>
      </x:c>
      <x:c r="AD145" s="1" t="b">
        <x:v>0</x:v>
      </x:c>
    </x:row>
    <x:row r="146">
      <x:c r="A146" t="str">
        <x:v>SYN-0145</x:v>
      </x:c>
      <x:c r="B146" s="12" t="n">
        <x:v>46227</x:v>
      </x:c>
      <x:c r="C146" t="str">
        <x:v>Synthetic Yad2-like Listing</x:v>
      </x:c>
      <x:c r="D146" t="str">
        <x:v>https://example.com/listings/SYN-0145</x:v>
      </x:c>
      <x:c r="E146" t="str">
        <x:v>Second Hand</x:v>
      </x:c>
      <x:c r="F146" t="str"/>
      <x:c r="G146" t="str"/>
      <x:c r="H146" t="str">
        <x:v>Helsinki 37, Tel Aviv</x:v>
      </x:c>
      <x:c r="I146" t="str">
        <x:v>Tel Aviv</x:v>
      </x:c>
      <x:c r="J146" t="str">
        <x:v>Kikar HaMedina / New North</x:v>
      </x:c>
      <x:c r="K146" s="14" t="n">
        <x:v>0.17</x:v>
      </x:c>
      <x:c r="L146" t="str">
        <x:v>Apartment</x:v>
      </x:c>
      <x:c r="M146" t="n">
        <x:v>2</x:v>
      </x:c>
      <x:c r="N146" s="16" t="n">
        <x:v>49.3</x:v>
      </x:c>
      <x:c r="O146" t="n">
        <x:v>3</x:v>
      </x:c>
      <x:c r="P146" t="n">
        <x:v>4</x:v>
      </x:c>
      <x:c r="Q146" s="18" t="n">
        <x:v>4140000</x:v>
      </x:c>
      <x:c r="R146" s="18" t="n">
        <x:f>IFERROR(Q146/N146,"")</x:f>
        <x:v>83975.65922920893</x:v>
      </x:c>
      <x:c r="S146" t="n">
        <x:v>2015</x:v>
      </x:c>
      <x:c r="T146" t="n">
        <x:v>11</x:v>
      </x:c>
      <x:c r="U146" t="str">
        <x:v>Renovated</x:v>
      </x:c>
      <x:c r="V146" s="16" t="n">
        <x:v>22.7</x:v>
      </x:c>
      <x:c r="W146" t="str">
        <x:v>West</x:v>
      </x:c>
      <x:c r="X146" t="n">
        <x:v>0</x:v>
      </x:c>
      <x:c r="Y146" s="16" t="n">
        <x:v>4.2</x:v>
      </x:c>
      <x:c r="Z146" s="1" t="b">
        <x:v>1</x:v>
      </x:c>
      <x:c r="AA146" t="str">
        <x:v>West, East</x:v>
      </x:c>
      <x:c r="AB146" s="16" t="n">
        <x:v>0</x:v>
      </x:c>
      <x:c r="AC146" s="16" t="n">
        <x:v>0</x:v>
      </x:c>
      <x:c r="AD146" s="1" t="b">
        <x:v>1</x:v>
      </x:c>
    </x:row>
    <x:row r="147">
      <x:c r="A147" t="str">
        <x:v>SYN-0146</x:v>
      </x:c>
      <x:c r="B147" s="12" t="n">
        <x:v>46241</x:v>
      </x:c>
      <x:c r="C147" t="str">
        <x:v>Synthetic Yad2-like Listing</x:v>
      </x:c>
      <x:c r="D147" t="str">
        <x:v>https://example.com/listings/SYN-0146</x:v>
      </x:c>
      <x:c r="E147" t="str">
        <x:v>Second Hand</x:v>
      </x:c>
      <x:c r="F147" t="str"/>
      <x:c r="G147" t="str"/>
      <x:c r="H147" t="str">
        <x:v>Pinkas 144, Tel Aviv</x:v>
      </x:c>
      <x:c r="I147" t="str">
        <x:v>Tel Aviv</x:v>
      </x:c>
      <x:c r="J147" t="str">
        <x:v>Kikar HaMedina / New North</x:v>
      </x:c>
      <x:c r="K147" s="14" t="n">
        <x:v>0.55</x:v>
      </x:c>
      <x:c r="L147" t="str">
        <x:v>Apartment</x:v>
      </x:c>
      <x:c r="M147" t="n">
        <x:v>4</x:v>
      </x:c>
      <x:c r="N147" s="16" t="n">
        <x:v>99.7</x:v>
      </x:c>
      <x:c r="O147" t="n">
        <x:v>5</x:v>
      </x:c>
      <x:c r="P147" t="n">
        <x:v>10</x:v>
      </x:c>
      <x:c r="Q147" s="18" t="n">
        <x:v>6130000</x:v>
      </x:c>
      <x:c r="R147" s="18" t="n">
        <x:f>IFERROR(Q147/N147,"")</x:f>
        <x:v>61484.45336008024</x:v>
      </x:c>
      <x:c r="S147" t="n">
        <x:v>1991</x:v>
      </x:c>
      <x:c r="T147" t="n">
        <x:v>35</x:v>
      </x:c>
      <x:c r="U147" t="str">
        <x:v>Good</x:v>
      </x:c>
      <x:c r="V147" s="16" t="n">
        <x:v>0</x:v>
      </x:c>
      <x:c r="W147" t="str"/>
      <x:c r="X147" t="n">
        <x:v>0</x:v>
      </x:c>
      <x:c r="Y147" s="16" t="n">
        <x:v>0</x:v>
      </x:c>
      <x:c r="Z147" s="1" t="b">
        <x:v>1</x:v>
      </x:c>
      <x:c r="AA147" t="str">
        <x:v>South</x:v>
      </x:c>
      <x:c r="AB147" s="16" t="n">
        <x:v>0</x:v>
      </x:c>
      <x:c r="AC147" s="16" t="n">
        <x:v>0</x:v>
      </x:c>
      <x:c r="AD147" s="1" t="b">
        <x:v>0</x:v>
      </x:c>
    </x:row>
    <x:row r="148">
      <x:c r="A148" t="str">
        <x:v>SYN-0147</x:v>
      </x:c>
      <x:c r="B148" s="12" t="n">
        <x:v>46214</x:v>
      </x:c>
      <x:c r="C148" t="str">
        <x:v>Synthetic Yad2-like Listing</x:v>
      </x:c>
      <x:c r="D148" t="str">
        <x:v>https://example.com/listings/SYN-0147</x:v>
      </x:c>
      <x:c r="E148" t="str">
        <x:v>Second Hand</x:v>
      </x:c>
      <x:c r="F148" t="str"/>
      <x:c r="G148" t="str"/>
      <x:c r="H148" t="str">
        <x:v>Epstein 128, Tel Aviv</x:v>
      </x:c>
      <x:c r="I148" t="str">
        <x:v>Tel Aviv</x:v>
      </x:c>
      <x:c r="J148" t="str">
        <x:v>Kikar HaMedina / New North</x:v>
      </x:c>
      <x:c r="K148" s="14" t="n">
        <x:v>0.87</x:v>
      </x:c>
      <x:c r="L148" t="str">
        <x:v>Apartment</x:v>
      </x:c>
      <x:c r="M148" t="n">
        <x:v>3</x:v>
      </x:c>
      <x:c r="N148" s="16" t="n">
        <x:v>81.9</x:v>
      </x:c>
      <x:c r="O148" t="n">
        <x:v>4</x:v>
      </x:c>
      <x:c r="P148" t="n">
        <x:v>7</x:v>
      </x:c>
      <x:c r="Q148" s="18" t="n">
        <x:v>5540000</x:v>
      </x:c>
      <x:c r="R148" s="18" t="n">
        <x:f>IFERROR(Q148/N148,"")</x:f>
        <x:v>67643.46764346764</x:v>
      </x:c>
      <x:c r="S148" t="n">
        <x:v>1971</x:v>
      </x:c>
      <x:c r="T148" t="n">
        <x:v>55</x:v>
      </x:c>
      <x:c r="U148" t="str">
        <x:v>Good</x:v>
      </x:c>
      <x:c r="V148" s="16" t="n">
        <x:v>19.2</x:v>
      </x:c>
      <x:c r="W148" t="str">
        <x:v>South-East</x:v>
      </x:c>
      <x:c r="X148" t="n">
        <x:v>0</x:v>
      </x:c>
      <x:c r="Y148" s="16" t="n">
        <x:v>0</x:v>
      </x:c>
      <x:c r="Z148" s="1" t="b">
        <x:v>1</x:v>
      </x:c>
      <x:c r="AA148" t="str">
        <x:v>South-East, West</x:v>
      </x:c>
      <x:c r="AB148" s="16" t="n">
        <x:v>0</x:v>
      </x:c>
      <x:c r="AC148" s="16" t="n">
        <x:v>0</x:v>
      </x:c>
      <x:c r="AD148" s="1" t="b">
        <x:v>0</x:v>
      </x:c>
    </x:row>
    <x:row r="149">
      <x:c r="A149" t="str">
        <x:v>SYN-0148</x:v>
      </x:c>
      <x:c r="B149" s="12" t="n">
        <x:v>46234</x:v>
      </x:c>
      <x:c r="C149" t="str">
        <x:v>Synthetic Yad2-like Listing</x:v>
      </x:c>
      <x:c r="D149" t="str">
        <x:v>https://example.com/listings/SYN-0148</x:v>
      </x:c>
      <x:c r="E149" t="str">
        <x:v>Second Hand</x:v>
      </x:c>
      <x:c r="F149" t="str"/>
      <x:c r="G149" t="str"/>
      <x:c r="H149" t="str">
        <x:v>Pinkas 106, Tel Aviv</x:v>
      </x:c>
      <x:c r="I149" t="str">
        <x:v>Tel Aviv</x:v>
      </x:c>
      <x:c r="J149" t="str">
        <x:v>Kikar HaMedina / New North</x:v>
      </x:c>
      <x:c r="K149" s="14" t="n">
        <x:v>0.55</x:v>
      </x:c>
      <x:c r="L149" t="str">
        <x:v>Apartment</x:v>
      </x:c>
      <x:c r="M149" t="n">
        <x:v>5</x:v>
      </x:c>
      <x:c r="N149" s="16" t="n">
        <x:v>133.4</x:v>
      </x:c>
      <x:c r="O149" t="n">
        <x:v>10</x:v>
      </x:c>
      <x:c r="P149" t="n">
        <x:v>16</x:v>
      </x:c>
      <x:c r="Q149" s="18" t="n">
        <x:v>8840000</x:v>
      </x:c>
      <x:c r="R149" s="18" t="n">
        <x:f>IFERROR(Q149/N149,"")</x:f>
        <x:v>66266.86656671664</x:v>
      </x:c>
      <x:c r="S149" t="n">
        <x:v>1988</x:v>
      </x:c>
      <x:c r="T149" t="n">
        <x:v>38</x:v>
      </x:c>
      <x:c r="U149" t="str">
        <x:v>Good</x:v>
      </x:c>
      <x:c r="V149" s="16" t="n">
        <x:v>14</x:v>
      </x:c>
      <x:c r="W149" t="str">
        <x:v>South</x:v>
      </x:c>
      <x:c r="X149" t="n">
        <x:v>1</x:v>
      </x:c>
      <x:c r="Y149" s="16" t="n">
        <x:v>0</x:v>
      </x:c>
      <x:c r="Z149" s="1" t="b">
        <x:v>1</x:v>
      </x:c>
      <x:c r="AA149" t="str">
        <x:v>South</x:v>
      </x:c>
      <x:c r="AB149" s="16" t="n">
        <x:v>0</x:v>
      </x:c>
      <x:c r="AC149" s="16" t="n">
        <x:v>0</x:v>
      </x:c>
      <x:c r="AD149" s="1" t="b">
        <x:v>0</x:v>
      </x:c>
    </x:row>
    <x:row r="150">
      <x:c r="A150" t="str">
        <x:v>SYN-0149</x:v>
      </x:c>
      <x:c r="B150" s="12" t="n">
        <x:v>46231</x:v>
      </x:c>
      <x:c r="C150" t="str">
        <x:v>Synthetic Yad2-like Listing</x:v>
      </x:c>
      <x:c r="D150" t="str">
        <x:v>https://example.com/listings/SYN-0149</x:v>
      </x:c>
      <x:c r="E150" t="str">
        <x:v>Second Hand</x:v>
      </x:c>
      <x:c r="F150" t="str"/>
      <x:c r="G150" t="str"/>
      <x:c r="H150" t="str">
        <x:v>Biltmore 24, Tel Aviv</x:v>
      </x:c>
      <x:c r="I150" t="str">
        <x:v>Tel Aviv</x:v>
      </x:c>
      <x:c r="J150" t="str">
        <x:v>Kikar HaMedina / New North</x:v>
      </x:c>
      <x:c r="K150" s="14" t="n">
        <x:v>0.92</x:v>
      </x:c>
      <x:c r="L150" t="str">
        <x:v>Apartment</x:v>
      </x:c>
      <x:c r="M150" t="n">
        <x:v>4</x:v>
      </x:c>
      <x:c r="N150" s="16" t="n">
        <x:v>103.2</x:v>
      </x:c>
      <x:c r="O150" t="n">
        <x:v>3</x:v>
      </x:c>
      <x:c r="P150" t="n">
        <x:v>6</x:v>
      </x:c>
      <x:c r="Q150" s="18" t="n">
        <x:v>7150000</x:v>
      </x:c>
      <x:c r="R150" s="18" t="n">
        <x:f>IFERROR(Q150/N150,"")</x:f>
        <x:v>69282.9457364341</x:v>
      </x:c>
      <x:c r="S150" t="n">
        <x:v>1981</x:v>
      </x:c>
      <x:c r="T150" t="n">
        <x:v>45</x:v>
      </x:c>
      <x:c r="U150" t="str">
        <x:v>Renovated</x:v>
      </x:c>
      <x:c r="V150" s="16" t="n">
        <x:v>0</x:v>
      </x:c>
      <x:c r="W150" t="str"/>
      <x:c r="X150" t="n">
        <x:v>1</x:v>
      </x:c>
      <x:c r="Y150" s="16" t="n">
        <x:v>4.8</x:v>
      </x:c>
      <x:c r="Z150" s="1" t="b">
        <x:v>1</x:v>
      </x:c>
      <x:c r="AA150" t="str">
        <x:v>East-West</x:v>
      </x:c>
      <x:c r="AB150" s="16" t="n">
        <x:v>0</x:v>
      </x:c>
      <x:c r="AC150" s="16" t="n">
        <x:v>0</x:v>
      </x:c>
      <x:c r="AD150" s="1" t="b">
        <x:v>0</x:v>
      </x:c>
    </x:row>
    <x:row r="151">
      <x:c r="A151" t="str">
        <x:v>SYN-0150</x:v>
      </x:c>
      <x:c r="B151" s="12" t="n">
        <x:v>46242</x:v>
      </x:c>
      <x:c r="C151" t="str">
        <x:v>Synthetic Yad2-like Listing</x:v>
      </x:c>
      <x:c r="D151" t="str">
        <x:v>https://example.com/listings/SYN-0150</x:v>
      </x:c>
      <x:c r="E151" t="str">
        <x:v>Second Hand</x:v>
      </x:c>
      <x:c r="F151" t="str"/>
      <x:c r="G151" t="str"/>
      <x:c r="H151" t="str">
        <x:v>Pinkas 14, Tel Aviv</x:v>
      </x:c>
      <x:c r="I151" t="str">
        <x:v>Tel Aviv</x:v>
      </x:c>
      <x:c r="J151" t="str">
        <x:v>Kikar HaMedina / New North</x:v>
      </x:c>
      <x:c r="K151" s="14" t="n">
        <x:v>0.48</x:v>
      </x:c>
      <x:c r="L151" t="str">
        <x:v>Apartment</x:v>
      </x:c>
      <x:c r="M151" t="n">
        <x:v>2</x:v>
      </x:c>
      <x:c r="N151" s="16" t="n">
        <x:v>58.5</x:v>
      </x:c>
      <x:c r="O151" t="n">
        <x:v>2</x:v>
      </x:c>
      <x:c r="P151" t="n">
        <x:v>4</x:v>
      </x:c>
      <x:c r="Q151" s="18" t="n">
        <x:v>4280000</x:v>
      </x:c>
      <x:c r="R151" s="18" t="n">
        <x:f>IFERROR(Q151/N151,"")</x:f>
        <x:v>73162.39316239316</x:v>
      </x:c>
      <x:c r="S151" t="n">
        <x:v>1995</x:v>
      </x:c>
      <x:c r="T151" t="n">
        <x:v>31</x:v>
      </x:c>
      <x:c r="U151" t="str">
        <x:v>Good</x:v>
      </x:c>
      <x:c r="V151" s="16" t="n">
        <x:v>11</x:v>
      </x:c>
      <x:c r="W151" t="str">
        <x:v>North-East</x:v>
      </x:c>
      <x:c r="X151" t="n">
        <x:v>1</x:v>
      </x:c>
      <x:c r="Y151" s="16" t="n">
        <x:v>3.7</x:v>
      </x:c>
      <x:c r="Z151" s="1" t="b">
        <x:v>1</x:v>
      </x:c>
      <x:c r="AA151" t="str">
        <x:v>North-East, West</x:v>
      </x:c>
      <x:c r="AB151" s="16" t="n">
        <x:v>0</x:v>
      </x:c>
      <x:c r="AC151" s="16" t="n">
        <x:v>0</x:v>
      </x:c>
      <x:c r="AD151" s="1" t="b">
        <x:v>0</x:v>
      </x:c>
    </x:row>
    <x:row r="152">
      <x:c r="A152" t="str">
        <x:v>SYN-0151</x:v>
      </x:c>
      <x:c r="B152" s="12" t="n">
        <x:v>46221</x:v>
      </x:c>
      <x:c r="C152" t="str">
        <x:v>Synthetic Yad2-like Listing</x:v>
      </x:c>
      <x:c r="D152" t="str">
        <x:v>https://example.com/listings/SYN-0151</x:v>
      </x:c>
      <x:c r="E152" t="str">
        <x:v>Second Hand</x:v>
      </x:c>
      <x:c r="F152" t="str"/>
      <x:c r="G152" t="str"/>
      <x:c r="H152" t="str">
        <x:v>Pinkas 48, Tel Aviv</x:v>
      </x:c>
      <x:c r="I152" t="str">
        <x:v>Tel Aviv</x:v>
      </x:c>
      <x:c r="J152" t="str">
        <x:v>Kikar HaMedina / New North</x:v>
      </x:c>
      <x:c r="K152" s="14" t="n">
        <x:v>0.4</x:v>
      </x:c>
      <x:c r="L152" t="str">
        <x:v>Apartment</x:v>
      </x:c>
      <x:c r="M152" t="n">
        <x:v>2</x:v>
      </x:c>
      <x:c r="N152" s="16" t="n">
        <x:v>48.9</x:v>
      </x:c>
      <x:c r="O152" t="n">
        <x:v>10</x:v>
      </x:c>
      <x:c r="P152" t="n">
        <x:v>15</x:v>
      </x:c>
      <x:c r="Q152" s="18" t="n">
        <x:v>3600000</x:v>
      </x:c>
      <x:c r="R152" s="18" t="n">
        <x:f>IFERROR(Q152/N152,"")</x:f>
        <x:v>73619.63190184049</x:v>
      </x:c>
      <x:c r="S152" t="n">
        <x:v>2001</x:v>
      </x:c>
      <x:c r="T152" t="n">
        <x:v>25</x:v>
      </x:c>
      <x:c r="U152" t="str">
        <x:v>Good</x:v>
      </x:c>
      <x:c r="V152" s="16" t="n">
        <x:v>9.8</x:v>
      </x:c>
      <x:c r="W152" t="str">
        <x:v>South-East</x:v>
      </x:c>
      <x:c r="X152" t="n">
        <x:v>1</x:v>
      </x:c>
      <x:c r="Y152" s="16" t="n">
        <x:v>0</x:v>
      </x:c>
      <x:c r="Z152" s="1" t="b">
        <x:v>1</x:v>
      </x:c>
      <x:c r="AA152" t="str">
        <x:v>South-East, West</x:v>
      </x:c>
      <x:c r="AB152" s="16" t="n">
        <x:v>0</x:v>
      </x:c>
      <x:c r="AC152" s="16" t="n">
        <x:v>0</x:v>
      </x:c>
      <x:c r="AD152" s="1" t="b">
        <x:v>0</x:v>
      </x:c>
    </x:row>
    <x:row r="153">
      <x:c r="A153" t="str">
        <x:v>SYN-0152</x:v>
      </x:c>
      <x:c r="B153" s="12" t="n">
        <x:v>46219</x:v>
      </x:c>
      <x:c r="C153" t="str">
        <x:v>Synthetic Yad2-like Listing</x:v>
      </x:c>
      <x:c r="D153" t="str">
        <x:v>https://example.com/listings/SYN-0152</x:v>
      </x:c>
      <x:c r="E153" t="str">
        <x:v>Second Hand</x:v>
      </x:c>
      <x:c r="F153" t="str"/>
      <x:c r="G153" t="str"/>
      <x:c r="H153" t="str">
        <x:v>Klay 108, Tel Aviv</x:v>
      </x:c>
      <x:c r="I153" t="str">
        <x:v>Tel Aviv</x:v>
      </x:c>
      <x:c r="J153" t="str">
        <x:v>Kikar HaMedina / New North</x:v>
      </x:c>
      <x:c r="K153" s="14" t="n">
        <x:v>0.66</x:v>
      </x:c>
      <x:c r="L153" t="str">
        <x:v>Apartment</x:v>
      </x:c>
      <x:c r="M153" t="n">
        <x:v>2</x:v>
      </x:c>
      <x:c r="N153" s="16" t="n">
        <x:v>55.8</x:v>
      </x:c>
      <x:c r="O153" t="n">
        <x:v>1</x:v>
      </x:c>
      <x:c r="P153" t="n">
        <x:v>5</x:v>
      </x:c>
      <x:c r="Q153" s="18" t="n">
        <x:v>3640000</x:v>
      </x:c>
      <x:c r="R153" s="18" t="n">
        <x:f>IFERROR(Q153/N153,"")</x:f>
        <x:v>65232.97491039427</x:v>
      </x:c>
      <x:c r="S153" t="n">
        <x:v>1963</x:v>
      </x:c>
      <x:c r="T153" t="n">
        <x:v>63</x:v>
      </x:c>
      <x:c r="U153" t="str">
        <x:v>Good</x:v>
      </x:c>
      <x:c r="V153" s="16" t="n">
        <x:v>0</x:v>
      </x:c>
      <x:c r="W153" t="str"/>
      <x:c r="X153" t="n">
        <x:v>1</x:v>
      </x:c>
      <x:c r="Y153" s="16" t="n">
        <x:v>0</x:v>
      </x:c>
      <x:c r="Z153" s="1" t="b">
        <x:v>1</x:v>
      </x:c>
      <x:c r="AA153" t="str">
        <x:v>East</x:v>
      </x:c>
      <x:c r="AB153" s="16" t="n">
        <x:v>0</x:v>
      </x:c>
      <x:c r="AC153" s="16" t="n">
        <x:v>0</x:v>
      </x:c>
      <x:c r="AD153" s="1" t="b">
        <x:v>0</x:v>
      </x:c>
    </x:row>
    <x:row r="154">
      <x:c r="A154" t="str">
        <x:v>SYN-0153</x:v>
      </x:c>
      <x:c r="B154" s="12" t="n">
        <x:v>46256</x:v>
      </x:c>
      <x:c r="C154" t="str">
        <x:v>Synthetic Yad2-like Listing</x:v>
      </x:c>
      <x:c r="D154" t="str">
        <x:v>https://example.com/listings/SYN-0153</x:v>
      </x:c>
      <x:c r="E154" t="str">
        <x:v>Second Hand</x:v>
      </x:c>
      <x:c r="F154" t="str"/>
      <x:c r="G154" t="str"/>
      <x:c r="H154" t="str">
        <x:v>Pinkas 33, Tel Aviv</x:v>
      </x:c>
      <x:c r="I154" t="str">
        <x:v>Tel Aviv</x:v>
      </x:c>
      <x:c r="J154" t="str">
        <x:v>Kikar HaMedina / New North</x:v>
      </x:c>
      <x:c r="K154" s="14" t="n">
        <x:v>0.59</x:v>
      </x:c>
      <x:c r="L154" t="str">
        <x:v>Apartment</x:v>
      </x:c>
      <x:c r="M154" t="n">
        <x:v>2</x:v>
      </x:c>
      <x:c r="N154" s="16" t="n">
        <x:v>58.6</x:v>
      </x:c>
      <x:c r="O154" t="n">
        <x:v>11</x:v>
      </x:c>
      <x:c r="P154" t="n">
        <x:v>12</x:v>
      </x:c>
      <x:c r="Q154" s="18" t="n">
        <x:v>3970000</x:v>
      </x:c>
      <x:c r="R154" s="18" t="n">
        <x:f>IFERROR(Q154/N154,"")</x:f>
        <x:v>67747.44027303754</x:v>
      </x:c>
      <x:c r="S154" t="n">
        <x:v>2008</x:v>
      </x:c>
      <x:c r="T154" t="n">
        <x:v>18</x:v>
      </x:c>
      <x:c r="U154" t="str">
        <x:v>Good</x:v>
      </x:c>
      <x:c r="V154" s="16" t="n">
        <x:v>0</x:v>
      </x:c>
      <x:c r="W154" t="str"/>
      <x:c r="X154" t="n">
        <x:v>1</x:v>
      </x:c>
      <x:c r="Y154" s="16" t="n">
        <x:v>0</x:v>
      </x:c>
      <x:c r="Z154" s="1" t="b">
        <x:v>1</x:v>
      </x:c>
      <x:c r="AA154" t="str">
        <x:v>South-West</x:v>
      </x:c>
      <x:c r="AB154" s="16" t="n">
        <x:v>0</x:v>
      </x:c>
      <x:c r="AC154" s="16" t="n">
        <x:v>0</x:v>
      </x:c>
      <x:c r="AD154" s="1" t="b">
        <x:v>1</x:v>
      </x:c>
    </x:row>
    <x:row r="155">
      <x:c r="A155" t="str">
        <x:v>SYN-0154</x:v>
      </x:c>
      <x:c r="B155" s="12" t="n">
        <x:v>46210</x:v>
      </x:c>
      <x:c r="C155" t="str">
        <x:v>Synthetic Yad2-like Listing</x:v>
      </x:c>
      <x:c r="D155" t="str">
        <x:v>https://example.com/listings/SYN-0154</x:v>
      </x:c>
      <x:c r="E155" t="str">
        <x:v>Second Hand</x:v>
      </x:c>
      <x:c r="F155" t="str"/>
      <x:c r="G155" t="str"/>
      <x:c r="H155" t="str">
        <x:v>Klay 108, Tel Aviv</x:v>
      </x:c>
      <x:c r="I155" t="str">
        <x:v>Tel Aviv</x:v>
      </x:c>
      <x:c r="J155" t="str">
        <x:v>Kikar HaMedina / New North</x:v>
      </x:c>
      <x:c r="K155" s="14" t="n">
        <x:v>0.57</x:v>
      </x:c>
      <x:c r="L155" t="str">
        <x:v>Apartment</x:v>
      </x:c>
      <x:c r="M155" t="n">
        <x:v>5</x:v>
      </x:c>
      <x:c r="N155" s="16" t="n">
        <x:v>118.7</x:v>
      </x:c>
      <x:c r="O155" t="n">
        <x:v>11</x:v>
      </x:c>
      <x:c r="P155" t="n">
        <x:v>18</x:v>
      </x:c>
      <x:c r="Q155" s="18" t="n">
        <x:v>8100000</x:v>
      </x:c>
      <x:c r="R155" s="18" t="n">
        <x:f>IFERROR(Q155/N155,"")</x:f>
        <x:v>68239.25863521482</x:v>
      </x:c>
      <x:c r="S155" t="n">
        <x:v>2004</x:v>
      </x:c>
      <x:c r="T155" t="n">
        <x:v>22</x:v>
      </x:c>
      <x:c r="U155" t="str">
        <x:v>Good</x:v>
      </x:c>
      <x:c r="V155" s="16" t="n">
        <x:v>17.5</x:v>
      </x:c>
      <x:c r="W155" t="str">
        <x:v>North-West</x:v>
      </x:c>
      <x:c r="X155" t="n">
        <x:v>0</x:v>
      </x:c>
      <x:c r="Y155" s="16" t="n">
        <x:v>0</x:v>
      </x:c>
      <x:c r="Z155" s="1" t="b">
        <x:v>1</x:v>
      </x:c>
      <x:c r="AA155" t="str">
        <x:v>North-West, South</x:v>
      </x:c>
      <x:c r="AB155" s="16" t="n">
        <x:v>0</x:v>
      </x:c>
      <x:c r="AC155" s="16" t="n">
        <x:v>0</x:v>
      </x:c>
      <x:c r="AD155" s="1" t="b">
        <x:v>0</x:v>
      </x:c>
    </x:row>
    <x:row r="156">
      <x:c r="A156" t="str">
        <x:v>SYN-0155</x:v>
      </x:c>
      <x:c r="B156" s="12" t="n">
        <x:v>46251</x:v>
      </x:c>
      <x:c r="C156" t="str">
        <x:v>Synthetic Yad2-like Listing</x:v>
      </x:c>
      <x:c r="D156" t="str">
        <x:v>https://example.com/listings/SYN-0155</x:v>
      </x:c>
      <x:c r="E156" t="str">
        <x:v>Second Hand</x:v>
      </x:c>
      <x:c r="F156" t="str"/>
      <x:c r="G156" t="str"/>
      <x:c r="H156" t="str">
        <x:v>Pinkas 103, Tel Aviv</x:v>
      </x:c>
      <x:c r="I156" t="str">
        <x:v>Tel Aviv</x:v>
      </x:c>
      <x:c r="J156" t="str">
        <x:v>Kikar HaMedina / New North</x:v>
      </x:c>
      <x:c r="K156" s="14" t="n">
        <x:v>0.36</x:v>
      </x:c>
      <x:c r="L156" t="str">
        <x:v>Apartment</x:v>
      </x:c>
      <x:c r="M156" t="n">
        <x:v>4</x:v>
      </x:c>
      <x:c r="N156" s="16" t="n">
        <x:v>90</x:v>
      </x:c>
      <x:c r="O156" t="n">
        <x:v>4</x:v>
      </x:c>
      <x:c r="P156" t="n">
        <x:v>18</x:v>
      </x:c>
      <x:c r="Q156" s="18" t="n">
        <x:v>6320000</x:v>
      </x:c>
      <x:c r="R156" s="18" t="n">
        <x:f>IFERROR(Q156/N156,"")</x:f>
        <x:v>70222.22222222222</x:v>
      </x:c>
      <x:c r="S156" t="n">
        <x:v>1971</x:v>
      </x:c>
      <x:c r="T156" t="n">
        <x:v>55</x:v>
      </x:c>
      <x:c r="U156" t="str">
        <x:v>Renovated</x:v>
      </x:c>
      <x:c r="V156" s="16" t="n">
        <x:v>14.6</x:v>
      </x:c>
      <x:c r="W156" t="str">
        <x:v>South-East</x:v>
      </x:c>
      <x:c r="X156" t="n">
        <x:v>1</x:v>
      </x:c>
      <x:c r="Y156" s="16" t="n">
        <x:v>0</x:v>
      </x:c>
      <x:c r="Z156" s="1" t="b">
        <x:v>1</x:v>
      </x:c>
      <x:c r="AA156" t="str">
        <x:v>South-East</x:v>
      </x:c>
      <x:c r="AB156" s="16" t="n">
        <x:v>0</x:v>
      </x:c>
      <x:c r="AC156" s="16" t="n">
        <x:v>0</x:v>
      </x:c>
      <x:c r="AD156" s="1" t="b">
        <x:v>0</x:v>
      </x:c>
    </x:row>
    <x:row r="157">
      <x:c r="A157" t="str">
        <x:v>SYN-0156</x:v>
      </x:c>
      <x:c r="B157" s="12" t="n">
        <x:v>46230</x:v>
      </x:c>
      <x:c r="C157" t="str">
        <x:v>Synthetic Yad2-like Listing</x:v>
      </x:c>
      <x:c r="D157" t="str">
        <x:v>https://example.com/listings/SYN-0156</x:v>
      </x:c>
      <x:c r="E157" t="str">
        <x:v>Second Hand</x:v>
      </x:c>
      <x:c r="F157" t="str"/>
      <x:c r="G157" t="str"/>
      <x:c r="H157" t="str">
        <x:v>Bavli 107, Tel Aviv</x:v>
      </x:c>
      <x:c r="I157" t="str">
        <x:v>Tel Aviv</x:v>
      </x:c>
      <x:c r="J157" t="str">
        <x:v>Kikar HaMedina / New North</x:v>
      </x:c>
      <x:c r="K157" s="14" t="n">
        <x:v>0.67</x:v>
      </x:c>
      <x:c r="L157" t="str">
        <x:v>Apartment</x:v>
      </x:c>
      <x:c r="M157" t="n">
        <x:v>3</x:v>
      </x:c>
      <x:c r="N157" s="16" t="n">
        <x:v>73.6</x:v>
      </x:c>
      <x:c r="O157" t="n">
        <x:v>5</x:v>
      </x:c>
      <x:c r="P157" t="n">
        <x:v>18</x:v>
      </x:c>
      <x:c r="Q157" s="18" t="n">
        <x:v>5360000</x:v>
      </x:c>
      <x:c r="R157" s="18" t="n">
        <x:f>IFERROR(Q157/N157,"")</x:f>
        <x:v>72826.08695652174</x:v>
      </x:c>
      <x:c r="S157" t="n">
        <x:v>2009</x:v>
      </x:c>
      <x:c r="T157" t="n">
        <x:v>17</x:v>
      </x:c>
      <x:c r="U157" t="str">
        <x:v>Good</x:v>
      </x:c>
      <x:c r="V157" s="16" t="n">
        <x:v>15.9</x:v>
      </x:c>
      <x:c r="W157" t="str">
        <x:v>South</x:v>
      </x:c>
      <x:c r="X157" t="n">
        <x:v>0</x:v>
      </x:c>
      <x:c r="Y157" s="16" t="n">
        <x:v>5.1</x:v>
      </x:c>
      <x:c r="Z157" s="1" t="b">
        <x:v>1</x:v>
      </x:c>
      <x:c r="AA157" t="str">
        <x:v>South</x:v>
      </x:c>
      <x:c r="AB157" s="16" t="n">
        <x:v>0</x:v>
      </x:c>
      <x:c r="AC157" s="16" t="n">
        <x:v>0</x:v>
      </x:c>
      <x:c r="AD157" s="1" t="b">
        <x:v>0</x:v>
      </x:c>
    </x:row>
    <x:row r="158">
      <x:c r="A158" t="str">
        <x:v>SYN-0157</x:v>
      </x:c>
      <x:c r="B158" s="12" t="n">
        <x:v>46221</x:v>
      </x:c>
      <x:c r="C158" t="str">
        <x:v>Synthetic Yad2-like Listing</x:v>
      </x:c>
      <x:c r="D158" t="str">
        <x:v>https://example.com/listings/SYN-0157</x:v>
      </x:c>
      <x:c r="E158" t="str">
        <x:v>Second Hand</x:v>
      </x:c>
      <x:c r="F158" t="str"/>
      <x:c r="G158" t="str"/>
      <x:c r="H158" t="str">
        <x:v>Jabotinsky 15, Tel Aviv</x:v>
      </x:c>
      <x:c r="I158" t="str">
        <x:v>Tel Aviv</x:v>
      </x:c>
      <x:c r="J158" t="str">
        <x:v>Kikar HaMedina / New North</x:v>
      </x:c>
      <x:c r="K158" s="14" t="n">
        <x:v>0.59</x:v>
      </x:c>
      <x:c r="L158" t="str">
        <x:v>Apartment</x:v>
      </x:c>
      <x:c r="M158" t="n">
        <x:v>4</x:v>
      </x:c>
      <x:c r="N158" s="16" t="n">
        <x:v>105.3</x:v>
      </x:c>
      <x:c r="O158" t="n">
        <x:v>0</x:v>
      </x:c>
      <x:c r="P158" t="n">
        <x:v>12</x:v>
      </x:c>
      <x:c r="Q158" s="18" t="n">
        <x:v>7290000</x:v>
      </x:c>
      <x:c r="R158" s="18" t="n">
        <x:f>IFERROR(Q158/N158,"")</x:f>
        <x:v>69230.76923076923</x:v>
      </x:c>
      <x:c r="S158" t="n">
        <x:v>1996</x:v>
      </x:c>
      <x:c r="T158" t="n">
        <x:v>30</x:v>
      </x:c>
      <x:c r="U158" t="str">
        <x:v>Renovated</x:v>
      </x:c>
      <x:c r="V158" s="16" t="n">
        <x:v>0</x:v>
      </x:c>
      <x:c r="W158" t="str"/>
      <x:c r="X158" t="n">
        <x:v>1</x:v>
      </x:c>
      <x:c r="Y158" s="16" t="n">
        <x:v>0</x:v>
      </x:c>
      <x:c r="Z158" s="1" t="b">
        <x:v>1</x:v>
      </x:c>
      <x:c r="AA158" t="str">
        <x:v>North</x:v>
      </x:c>
      <x:c r="AB158" s="16" t="n">
        <x:v>0</x:v>
      </x:c>
      <x:c r="AC158" s="16" t="n">
        <x:v>0</x:v>
      </x:c>
      <x:c r="AD158" s="1" t="b">
        <x:v>0</x:v>
      </x:c>
    </x:row>
    <x:row r="159">
      <x:c r="A159" t="str">
        <x:v>SYN-0158</x:v>
      </x:c>
      <x:c r="B159" s="12" t="n">
        <x:v>46217</x:v>
      </x:c>
      <x:c r="C159" t="str">
        <x:v>Synthetic New-Project Listing</x:v>
      </x:c>
      <x:c r="D159" t="str">
        <x:v>https://example.com/listings/SYN-0158</x:v>
      </x:c>
      <x:c r="E159" t="str">
        <x:v>New Project</x:v>
      </x:c>
      <x:c r="F159" t="str">
        <x:v>Weizmann Urban</x:v>
      </x:c>
      <x:c r="G159" t="str">
        <x:v>Sample Development B</x:v>
      </x:c>
      <x:c r="H159" t="str">
        <x:v>Bavli 177, Tel Aviv</x:v>
      </x:c>
      <x:c r="I159" t="str">
        <x:v>Tel Aviv</x:v>
      </x:c>
      <x:c r="J159" t="str">
        <x:v>Kikar HaMedina / New North</x:v>
      </x:c>
      <x:c r="K159" s="14" t="n">
        <x:v>0.71</x:v>
      </x:c>
      <x:c r="L159" t="str">
        <x:v>Duplex</x:v>
      </x:c>
      <x:c r="M159" t="n">
        <x:v>4</x:v>
      </x:c>
      <x:c r="N159" s="16" t="n">
        <x:v>95.9</x:v>
      </x:c>
      <x:c r="O159" t="n">
        <x:v>1</x:v>
      </x:c>
      <x:c r="P159" t="n">
        <x:v>14</x:v>
      </x:c>
      <x:c r="Q159" s="18" t="n">
        <x:v>7630000</x:v>
      </x:c>
      <x:c r="R159" s="18" t="n">
        <x:f>IFERROR(Q159/N159,"")</x:f>
        <x:v>79562.04379562044</x:v>
      </x:c>
      <x:c r="S159" t="n">
        <x:v>2026</x:v>
      </x:c>
      <x:c r="T159" t="n">
        <x:v>0</x:v>
      </x:c>
      <x:c r="U159" t="str">
        <x:v>New</x:v>
      </x:c>
      <x:c r="V159" s="16" t="n">
        <x:v>17.5</x:v>
      </x:c>
      <x:c r="W159" t="str">
        <x:v>East</x:v>
      </x:c>
      <x:c r="X159" t="n">
        <x:v>0</x:v>
      </x:c>
      <x:c r="Y159" s="16" t="n">
        <x:v>6.9</x:v>
      </x:c>
      <x:c r="Z159" s="1" t="b">
        <x:v>1</x:v>
      </x:c>
      <x:c r="AA159" t="str">
        <x:v>East, North</x:v>
      </x:c>
      <x:c r="AB159" s="16" t="n">
        <x:v>0</x:v>
      </x:c>
      <x:c r="AC159" s="16" t="n">
        <x:v>0</x:v>
      </x:c>
      <x:c r="AD159" s="1" t="b">
        <x:v>0</x:v>
      </x:c>
    </x:row>
    <x:row r="160">
      <x:c r="A160" t="str">
        <x:v>SYN-0159</x:v>
      </x:c>
      <x:c r="B160" s="12" t="n">
        <x:v>46233</x:v>
      </x:c>
      <x:c r="C160" t="str">
        <x:v>Synthetic Yad2-like Listing</x:v>
      </x:c>
      <x:c r="D160" t="str">
        <x:v>https://example.com/listings/SYN-0159</x:v>
      </x:c>
      <x:c r="E160" t="str">
        <x:v>Second Hand</x:v>
      </x:c>
      <x:c r="F160" t="str"/>
      <x:c r="G160" t="str"/>
      <x:c r="H160" t="str">
        <x:v>Bavli 71, Tel Aviv</x:v>
      </x:c>
      <x:c r="I160" t="str">
        <x:v>Tel Aviv</x:v>
      </x:c>
      <x:c r="J160" t="str">
        <x:v>Kikar HaMedina / New North</x:v>
      </x:c>
      <x:c r="K160" s="14" t="n">
        <x:v>0.72</x:v>
      </x:c>
      <x:c r="L160" t="str">
        <x:v>Apartment</x:v>
      </x:c>
      <x:c r="M160" t="n">
        <x:v>4</x:v>
      </x:c>
      <x:c r="N160" s="16" t="n">
        <x:v>101.6</x:v>
      </x:c>
      <x:c r="O160" t="n">
        <x:v>4</x:v>
      </x:c>
      <x:c r="P160" t="n">
        <x:v>15</x:v>
      </x:c>
      <x:c r="Q160" s="18" t="n">
        <x:v>7090000</x:v>
      </x:c>
      <x:c r="R160" s="18" t="n">
        <x:f>IFERROR(Q160/N160,"")</x:f>
        <x:v>69783.46456692913</x:v>
      </x:c>
      <x:c r="S160" t="n">
        <x:v>1974</x:v>
      </x:c>
      <x:c r="T160" t="n">
        <x:v>52</x:v>
      </x:c>
      <x:c r="U160" t="str">
        <x:v>Renovated</x:v>
      </x:c>
      <x:c r="V160" s="16" t="n">
        <x:v>20.5</x:v>
      </x:c>
      <x:c r="W160" t="str">
        <x:v>North</x:v>
      </x:c>
      <x:c r="X160" t="n">
        <x:v>1</x:v>
      </x:c>
      <x:c r="Y160" s="16" t="n">
        <x:v>4.2</x:v>
      </x:c>
      <x:c r="Z160" s="1" t="b">
        <x:v>1</x:v>
      </x:c>
      <x:c r="AA160" t="str">
        <x:v>North, East</x:v>
      </x:c>
      <x:c r="AB160" s="16" t="n">
        <x:v>0</x:v>
      </x:c>
      <x:c r="AC160" s="16" t="n">
        <x:v>0</x:v>
      </x:c>
      <x:c r="AD160" s="1" t="b">
        <x:v>0</x:v>
      </x:c>
    </x:row>
    <x:row r="161">
      <x:c r="A161" t="str">
        <x:v>SYN-0160</x:v>
      </x:c>
      <x:c r="B161" s="12" t="n">
        <x:v>46245</x:v>
      </x:c>
      <x:c r="C161" t="str">
        <x:v>Synthetic New-Project Listing</x:v>
      </x:c>
      <x:c r="D161" t="str">
        <x:v>https://example.com/listings/SYN-0160</x:v>
      </x:c>
      <x:c r="E161" t="str">
        <x:v>New Project</x:v>
      </x:c>
      <x:c r="F161" t="str">
        <x:v>Kikar Residence</x:v>
      </x:c>
      <x:c r="G161" t="str">
        <x:v>Sample Development A</x:v>
      </x:c>
      <x:c r="H161" t="str">
        <x:v>Lissin 17, Tel Aviv</x:v>
      </x:c>
      <x:c r="I161" t="str">
        <x:v>Tel Aviv</x:v>
      </x:c>
      <x:c r="J161" t="str">
        <x:v>Kikar HaMedina / New North</x:v>
      </x:c>
      <x:c r="K161" s="14" t="n">
        <x:v>0.53</x:v>
      </x:c>
      <x:c r="L161" t="str">
        <x:v>Penthouse</x:v>
      </x:c>
      <x:c r="M161" t="n">
        <x:v>4</x:v>
      </x:c>
      <x:c r="N161" s="16" t="n">
        <x:v>100.5</x:v>
      </x:c>
      <x:c r="O161" t="n">
        <x:v>9</x:v>
      </x:c>
      <x:c r="P161" t="n">
        <x:v>11</x:v>
      </x:c>
      <x:c r="Q161" s="18" t="n">
        <x:v>9660000</x:v>
      </x:c>
      <x:c r="R161" s="18" t="n">
        <x:f>IFERROR(Q161/N161,"")</x:f>
        <x:v>96119.40298507463</x:v>
      </x:c>
      <x:c r="S161" t="n">
        <x:v>2027</x:v>
      </x:c>
      <x:c r="T161" t="n">
        <x:v>0</x:v>
      </x:c>
      <x:c r="U161" t="str">
        <x:v>New</x:v>
      </x:c>
      <x:c r="V161" s="16" t="n">
        <x:v>58.7</x:v>
      </x:c>
      <x:c r="W161" t="str">
        <x:v>North-West</x:v>
      </x:c>
      <x:c r="X161" t="n">
        <x:v>1</x:v>
      </x:c>
      <x:c r="Y161" s="16" t="n">
        <x:v>5</x:v>
      </x:c>
      <x:c r="Z161" s="1" t="b">
        <x:v>1</x:v>
      </x:c>
      <x:c r="AA161" t="str">
        <x:v>North-West, North</x:v>
      </x:c>
      <x:c r="AB161" s="16" t="n">
        <x:v>0</x:v>
      </x:c>
      <x:c r="AC161" s="16" t="n">
        <x:v>34.8</x:v>
      </x:c>
      <x:c r="AD161" s="1" t="b">
        <x:v>0</x:v>
      </x:c>
    </x:row>
    <x:row r="162">
      <x:c r="A162" t="str">
        <x:v>SYN-0161</x:v>
      </x:c>
      <x:c r="B162" s="12" t="n">
        <x:v>46234</x:v>
      </x:c>
      <x:c r="C162" t="str">
        <x:v>Synthetic New-Project Listing</x:v>
      </x:c>
      <x:c r="D162" t="str">
        <x:v>https://example.com/listings/SYN-0161</x:v>
      </x:c>
      <x:c r="E162" t="str">
        <x:v>New Project</x:v>
      </x:c>
      <x:c r="F162" t="str">
        <x:v>North TLV Living</x:v>
      </x:c>
      <x:c r="G162" t="str">
        <x:v>Sample Development D</x:v>
      </x:c>
      <x:c r="H162" t="str">
        <x:v>Biltmore 147, Tel Aviv</x:v>
      </x:c>
      <x:c r="I162" t="str">
        <x:v>Tel Aviv</x:v>
      </x:c>
      <x:c r="J162" t="str">
        <x:v>Kikar HaMedina / New North</x:v>
      </x:c>
      <x:c r="K162" s="14" t="n">
        <x:v>0.88</x:v>
      </x:c>
      <x:c r="L162" t="str">
        <x:v>Apartment</x:v>
      </x:c>
      <x:c r="M162" t="n">
        <x:v>2</x:v>
      </x:c>
      <x:c r="N162" s="16" t="n">
        <x:v>56.7</x:v>
      </x:c>
      <x:c r="O162" t="n">
        <x:v>0</x:v>
      </x:c>
      <x:c r="P162" t="n">
        <x:v>16</x:v>
      </x:c>
      <x:c r="Q162" s="18" t="n">
        <x:v>4930000</x:v>
      </x:c>
      <x:c r="R162" s="18" t="n">
        <x:f>IFERROR(Q162/N162,"")</x:f>
        <x:v>86948.85361552027</x:v>
      </x:c>
      <x:c r="S162" t="n">
        <x:v>2026</x:v>
      </x:c>
      <x:c r="T162" t="n">
        <x:v>0</x:v>
      </x:c>
      <x:c r="U162" t="str">
        <x:v>New</x:v>
      </x:c>
      <x:c r="V162" s="16" t="n">
        <x:v>13.1</x:v>
      </x:c>
      <x:c r="W162" t="str">
        <x:v>East</x:v>
      </x:c>
      <x:c r="X162" t="n">
        <x:v>1</x:v>
      </x:c>
      <x:c r="Y162" s="16" t="n">
        <x:v>10</x:v>
      </x:c>
      <x:c r="Z162" s="1" t="b">
        <x:v>1</x:v>
      </x:c>
      <x:c r="AA162" t="str">
        <x:v>East, West</x:v>
      </x:c>
      <x:c r="AB162" s="16" t="n">
        <x:v>0</x:v>
      </x:c>
      <x:c r="AC162" s="16" t="n">
        <x:v>0</x:v>
      </x:c>
      <x:c r="AD162" s="1" t="b">
        <x:v>0</x:v>
      </x:c>
    </x:row>
    <x:row r="163">
      <x:c r="A163" t="str">
        <x:v>SYN-0162</x:v>
      </x:c>
      <x:c r="B163" s="12" t="n">
        <x:v>46254</x:v>
      </x:c>
      <x:c r="C163" t="str">
        <x:v>Synthetic Yad2-like Listing</x:v>
      </x:c>
      <x:c r="D163" t="str">
        <x:v>https://example.com/listings/SYN-0162</x:v>
      </x:c>
      <x:c r="E163" t="str">
        <x:v>Second Hand</x:v>
      </x:c>
      <x:c r="F163" t="str"/>
      <x:c r="G163" t="str"/>
      <x:c r="H163" t="str">
        <x:v>Mosenzon 168, Tel Aviv</x:v>
      </x:c>
      <x:c r="I163" t="str">
        <x:v>Tel Aviv</x:v>
      </x:c>
      <x:c r="J163" t="str">
        <x:v>Kikar HaMedina / New North</x:v>
      </x:c>
      <x:c r="K163" s="14" t="n">
        <x:v>0.81</x:v>
      </x:c>
      <x:c r="L163" t="str">
        <x:v>Apartment</x:v>
      </x:c>
      <x:c r="M163" t="n">
        <x:v>4</x:v>
      </x:c>
      <x:c r="N163" s="16" t="n">
        <x:v>98.1</x:v>
      </x:c>
      <x:c r="O163" t="n">
        <x:v>2</x:v>
      </x:c>
      <x:c r="P163" t="n">
        <x:v>17</x:v>
      </x:c>
      <x:c r="Q163" s="18" t="n">
        <x:v>6070000</x:v>
      </x:c>
      <x:c r="R163" s="18" t="n">
        <x:f>IFERROR(Q163/N163,"")</x:f>
        <x:v>61875.63710499491</x:v>
      </x:c>
      <x:c r="S163" t="n">
        <x:v>1971</x:v>
      </x:c>
      <x:c r="T163" t="n">
        <x:v>55</x:v>
      </x:c>
      <x:c r="U163" t="str">
        <x:v>Needs Renovation</x:v>
      </x:c>
      <x:c r="V163" s="16" t="n">
        <x:v>12.7</x:v>
      </x:c>
      <x:c r="W163" t="str">
        <x:v>South-West</x:v>
      </x:c>
      <x:c r="X163" t="n">
        <x:v>1</x:v>
      </x:c>
      <x:c r="Y163" s="16" t="n">
        <x:v>8.7</x:v>
      </x:c>
      <x:c r="Z163" s="1" t="b">
        <x:v>1</x:v>
      </x:c>
      <x:c r="AA163" t="str">
        <x:v>South-West, South</x:v>
      </x:c>
      <x:c r="AB163" s="16" t="n">
        <x:v>0</x:v>
      </x:c>
      <x:c r="AC163" s="16" t="n">
        <x:v>0</x:v>
      </x:c>
      <x:c r="AD163" s="1" t="b">
        <x:v>0</x:v>
      </x:c>
    </x:row>
    <x:row r="164">
      <x:c r="A164" t="str">
        <x:v>SYN-0163</x:v>
      </x:c>
      <x:c r="B164" s="12" t="n">
        <x:v>46225</x:v>
      </x:c>
      <x:c r="C164" t="str">
        <x:v>Synthetic Yad2-like Listing</x:v>
      </x:c>
      <x:c r="D164" t="str">
        <x:v>https://example.com/listings/SYN-0163</x:v>
      </x:c>
      <x:c r="E164" t="str">
        <x:v>Second Hand</x:v>
      </x:c>
      <x:c r="F164" t="str"/>
      <x:c r="G164" t="str"/>
      <x:c r="H164" t="str">
        <x:v>Weizmann 77, Tel Aviv</x:v>
      </x:c>
      <x:c r="I164" t="str">
        <x:v>Tel Aviv</x:v>
      </x:c>
      <x:c r="J164" t="str">
        <x:v>Kikar HaMedina / New North</x:v>
      </x:c>
      <x:c r="K164" s="14" t="n">
        <x:v>0.3</x:v>
      </x:c>
      <x:c r="L164" t="str">
        <x:v>Apartment</x:v>
      </x:c>
      <x:c r="M164" t="n">
        <x:v>3</x:v>
      </x:c>
      <x:c r="N164" s="16" t="n">
        <x:v>78.5</x:v>
      </x:c>
      <x:c r="O164" t="n">
        <x:v>7</x:v>
      </x:c>
      <x:c r="P164" t="n">
        <x:v>9</x:v>
      </x:c>
      <x:c r="Q164" s="18" t="n">
        <x:v>5970000</x:v>
      </x:c>
      <x:c r="R164" s="18" t="n">
        <x:f>IFERROR(Q164/N164,"")</x:f>
        <x:v>76050.95541401274</x:v>
      </x:c>
      <x:c r="S164" t="n">
        <x:v>2016</x:v>
      </x:c>
      <x:c r="T164" t="n">
        <x:v>10</x:v>
      </x:c>
      <x:c r="U164" t="str">
        <x:v>Renovated</x:v>
      </x:c>
      <x:c r="V164" s="16" t="n">
        <x:v>0</x:v>
      </x:c>
      <x:c r="W164" t="str"/>
      <x:c r="X164" t="n">
        <x:v>1</x:v>
      </x:c>
      <x:c r="Y164" s="16" t="n">
        <x:v>0</x:v>
      </x:c>
      <x:c r="Z164" s="1" t="b">
        <x:v>1</x:v>
      </x:c>
      <x:c r="AA164" t="str">
        <x:v>North-East</x:v>
      </x:c>
      <x:c r="AB164" s="16" t="n">
        <x:v>0</x:v>
      </x:c>
      <x:c r="AC164" s="16" t="n">
        <x:v>0</x:v>
      </x:c>
      <x:c r="AD164" s="1" t="b">
        <x:v>0</x:v>
      </x:c>
    </x:row>
    <x:row r="165">
      <x:c r="A165" t="str">
        <x:v>SYN-0164</x:v>
      </x:c>
      <x:c r="B165" s="12" t="n">
        <x:v>46214</x:v>
      </x:c>
      <x:c r="C165" t="str">
        <x:v>Synthetic Yad2-like Listing</x:v>
      </x:c>
      <x:c r="D165" t="str">
        <x:v>https://example.com/listings/SYN-0164</x:v>
      </x:c>
      <x:c r="E165" t="str">
        <x:v>Second Hand</x:v>
      </x:c>
      <x:c r="F165" t="str"/>
      <x:c r="G165" t="str"/>
      <x:c r="H165" t="str">
        <x:v>Helsinki 2, Tel Aviv</x:v>
      </x:c>
      <x:c r="I165" t="str">
        <x:v>Tel Aviv</x:v>
      </x:c>
      <x:c r="J165" t="str">
        <x:v>Kikar HaMedina / New North</x:v>
      </x:c>
      <x:c r="K165" s="14" t="n">
        <x:v>0.05</x:v>
      </x:c>
      <x:c r="L165" t="str">
        <x:v>Apartment</x:v>
      </x:c>
      <x:c r="M165" t="n">
        <x:v>4</x:v>
      </x:c>
      <x:c r="N165" s="16" t="n">
        <x:v>106.1</x:v>
      </x:c>
      <x:c r="O165" t="n">
        <x:v>7</x:v>
      </x:c>
      <x:c r="P165" t="n">
        <x:v>10</x:v>
      </x:c>
      <x:c r="Q165" s="18" t="n">
        <x:v>6900000</x:v>
      </x:c>
      <x:c r="R165" s="18" t="n">
        <x:f>IFERROR(Q165/N165,"")</x:f>
        <x:v>65032.98774740811</x:v>
      </x:c>
      <x:c r="S165" t="n">
        <x:v>1971</x:v>
      </x:c>
      <x:c r="T165" t="n">
        <x:v>55</x:v>
      </x:c>
      <x:c r="U165" t="str">
        <x:v>Renovated</x:v>
      </x:c>
      <x:c r="V165" s="16" t="n">
        <x:v>0</x:v>
      </x:c>
      <x:c r="W165" t="str"/>
      <x:c r="X165" t="n">
        <x:v>0</x:v>
      </x:c>
      <x:c r="Y165" s="16" t="n">
        <x:v>0</x:v>
      </x:c>
      <x:c r="Z165" s="1" t="b">
        <x:v>1</x:v>
      </x:c>
      <x:c r="AA165" t="str">
        <x:v>South-West-East</x:v>
      </x:c>
      <x:c r="AB165" s="16" t="n">
        <x:v>0</x:v>
      </x:c>
      <x:c r="AC165" s="16" t="n">
        <x:v>0</x:v>
      </x:c>
      <x:c r="AD165" s="1" t="b">
        <x:v>0</x:v>
      </x:c>
    </x:row>
    <x:row r="166">
      <x:c r="A166" t="str">
        <x:v>SYN-0165</x:v>
      </x:c>
      <x:c r="B166" s="12" t="n">
        <x:v>46226</x:v>
      </x:c>
      <x:c r="C166" t="str">
        <x:v>Synthetic Yad2-like Listing</x:v>
      </x:c>
      <x:c r="D166" t="str">
        <x:v>https://example.com/listings/SYN-0165</x:v>
      </x:c>
      <x:c r="E166" t="str">
        <x:v>Second Hand</x:v>
      </x:c>
      <x:c r="F166" t="str"/>
      <x:c r="G166" t="str"/>
      <x:c r="H166" t="str">
        <x:v>Mosenzon 5, Tel Aviv</x:v>
      </x:c>
      <x:c r="I166" t="str">
        <x:v>Tel Aviv</x:v>
      </x:c>
      <x:c r="J166" t="str">
        <x:v>Kikar HaMedina / New North</x:v>
      </x:c>
      <x:c r="K166" s="14" t="n">
        <x:v>0.8</x:v>
      </x:c>
      <x:c r="L166" t="str">
        <x:v>Apartment</x:v>
      </x:c>
      <x:c r="M166" t="n">
        <x:v>4</x:v>
      </x:c>
      <x:c r="N166" s="16" t="n">
        <x:v>89.8</x:v>
      </x:c>
      <x:c r="O166" t="n">
        <x:v>9</x:v>
      </x:c>
      <x:c r="P166" t="n">
        <x:v>16</x:v>
      </x:c>
      <x:c r="Q166" s="18" t="n">
        <x:v>7260000</x:v>
      </x:c>
      <x:c r="R166" s="18" t="n">
        <x:f>IFERROR(Q166/N166,"")</x:f>
        <x:v>80846.32516703787</x:v>
      </x:c>
      <x:c r="S166" t="n">
        <x:v>2020</x:v>
      </x:c>
      <x:c r="T166" t="n">
        <x:v>6</x:v>
      </x:c>
      <x:c r="U166" t="str">
        <x:v>Renovated</x:v>
      </x:c>
      <x:c r="V166" s="16" t="n">
        <x:v>23.4</x:v>
      </x:c>
      <x:c r="W166" t="str">
        <x:v>South-East</x:v>
      </x:c>
      <x:c r="X166" t="n">
        <x:v>1</x:v>
      </x:c>
      <x:c r="Y166" s="16" t="n">
        <x:v>0</x:v>
      </x:c>
      <x:c r="Z166" s="1" t="b">
        <x:v>1</x:v>
      </x:c>
      <x:c r="AA166" t="str">
        <x:v>South-East</x:v>
      </x:c>
      <x:c r="AB166" s="16" t="n">
        <x:v>0</x:v>
      </x:c>
      <x:c r="AC166" s="16" t="n">
        <x:v>0</x:v>
      </x:c>
      <x:c r="AD166" s="1" t="b">
        <x:v>0</x:v>
      </x:c>
    </x:row>
    <x:row r="167">
      <x:c r="A167" t="str">
        <x:v>SYN-0166</x:v>
      </x:c>
      <x:c r="B167" s="12" t="n">
        <x:v>46218</x:v>
      </x:c>
      <x:c r="C167" t="str">
        <x:v>Synthetic New-Project Listing</x:v>
      </x:c>
      <x:c r="D167" t="str">
        <x:v>https://example.com/listings/SYN-0166</x:v>
      </x:c>
      <x:c r="E167" t="str">
        <x:v>New Project</x:v>
      </x:c>
      <x:c r="F167" t="str">
        <x:v>Weizmann Urban</x:v>
      </x:c>
      <x:c r="G167" t="str">
        <x:v>Sample Development B</x:v>
      </x:c>
      <x:c r="H167" t="str">
        <x:v>Mosenzon 126, Tel Aviv</x:v>
      </x:c>
      <x:c r="I167" t="str">
        <x:v>Tel Aviv</x:v>
      </x:c>
      <x:c r="J167" t="str">
        <x:v>Kikar HaMedina / New North</x:v>
      </x:c>
      <x:c r="K167" s="14" t="n">
        <x:v>0.7</x:v>
      </x:c>
      <x:c r="L167" t="str">
        <x:v>Apartment</x:v>
      </x:c>
      <x:c r="M167" t="n">
        <x:v>2</x:v>
      </x:c>
      <x:c r="N167" s="16" t="n">
        <x:v>53</x:v>
      </x:c>
      <x:c r="O167" t="n">
        <x:v>4</x:v>
      </x:c>
      <x:c r="P167" t="n">
        <x:v>7</x:v>
      </x:c>
      <x:c r="Q167" s="18" t="n">
        <x:v>4690000</x:v>
      </x:c>
      <x:c r="R167" s="18" t="n">
        <x:f>IFERROR(Q167/N167,"")</x:f>
        <x:v>88490.56603773584</x:v>
      </x:c>
      <x:c r="S167" t="n">
        <x:v>2027</x:v>
      </x:c>
      <x:c r="T167" t="n">
        <x:v>0</x:v>
      </x:c>
      <x:c r="U167" t="str">
        <x:v>New</x:v>
      </x:c>
      <x:c r="V167" s="16" t="n">
        <x:v>23.2</x:v>
      </x:c>
      <x:c r="W167" t="str">
        <x:v>South-West</x:v>
      </x:c>
      <x:c r="X167" t="n">
        <x:v>1</x:v>
      </x:c>
      <x:c r="Y167" s="16" t="n">
        <x:v>5.4</x:v>
      </x:c>
      <x:c r="Z167" s="1" t="b">
        <x:v>1</x:v>
      </x:c>
      <x:c r="AA167" t="str">
        <x:v>South-West, North</x:v>
      </x:c>
      <x:c r="AB167" s="16" t="n">
        <x:v>0</x:v>
      </x:c>
      <x:c r="AC167" s="16" t="n">
        <x:v>0</x:v>
      </x:c>
      <x:c r="AD167" s="1" t="b">
        <x:v>0</x:v>
      </x:c>
    </x:row>
    <x:row r="168">
      <x:c r="A168" t="str">
        <x:v>SYN-0167</x:v>
      </x:c>
      <x:c r="B168" s="12" t="n">
        <x:v>46244</x:v>
      </x:c>
      <x:c r="C168" t="str">
        <x:v>Synthetic New-Project Listing</x:v>
      </x:c>
      <x:c r="D168" t="str">
        <x:v>https://example.com/listings/SYN-0167</x:v>
      </x:c>
      <x:c r="E168" t="str">
        <x:v>New Project</x:v>
      </x:c>
      <x:c r="F168" t="str">
        <x:v>Kikar Residence</x:v>
      </x:c>
      <x:c r="G168" t="str">
        <x:v>Sample Development A</x:v>
      </x:c>
      <x:c r="H168" t="str">
        <x:v>Helsinki 114, Tel Aviv</x:v>
      </x:c>
      <x:c r="I168" t="str">
        <x:v>Tel Aviv</x:v>
      </x:c>
      <x:c r="J168" t="str">
        <x:v>Kikar HaMedina / New North</x:v>
      </x:c>
      <x:c r="K168" s="14" t="n">
        <x:v>0.14</x:v>
      </x:c>
      <x:c r="L168" t="str">
        <x:v>Apartment</x:v>
      </x:c>
      <x:c r="M168" t="n">
        <x:v>5</x:v>
      </x:c>
      <x:c r="N168" s="16" t="n">
        <x:v>117.5</x:v>
      </x:c>
      <x:c r="O168" t="n">
        <x:v>0</x:v>
      </x:c>
      <x:c r="P168" t="n">
        <x:v>13</x:v>
      </x:c>
      <x:c r="Q168" s="18" t="n">
        <x:v>9880000</x:v>
      </x:c>
      <x:c r="R168" s="18" t="n">
        <x:f>IFERROR(Q168/N168,"")</x:f>
        <x:v>84085.10638297872</x:v>
      </x:c>
      <x:c r="S168" t="n">
        <x:v>2025</x:v>
      </x:c>
      <x:c r="T168" t="n">
        <x:v>1</x:v>
      </x:c>
      <x:c r="U168" t="str">
        <x:v>New</x:v>
      </x:c>
      <x:c r="V168" s="16" t="n">
        <x:v>27</x:v>
      </x:c>
      <x:c r="W168" t="str">
        <x:v>South-East</x:v>
      </x:c>
      <x:c r="X168" t="n">
        <x:v>2</x:v>
      </x:c>
      <x:c r="Y168" s="16" t="n">
        <x:v>3.3</x:v>
      </x:c>
      <x:c r="Z168" s="1" t="b">
        <x:v>1</x:v>
      </x:c>
      <x:c r="AA168" t="str">
        <x:v>South-East, South</x:v>
      </x:c>
      <x:c r="AB168" s="16" t="n">
        <x:v>0</x:v>
      </x:c>
      <x:c r="AC168" s="16" t="n">
        <x:v>0</x:v>
      </x:c>
      <x:c r="AD168" s="1" t="b">
        <x:v>0</x:v>
      </x:c>
    </x:row>
    <x:row r="169">
      <x:c r="A169" t="str">
        <x:v>SYN-0168</x:v>
      </x:c>
      <x:c r="B169" s="12" t="n">
        <x:v>46222</x:v>
      </x:c>
      <x:c r="C169" t="str">
        <x:v>Synthetic New-Project Listing</x:v>
      </x:c>
      <x:c r="D169" t="str">
        <x:v>https://example.com/listings/SYN-0168</x:v>
      </x:c>
      <x:c r="E169" t="str">
        <x:v>New Project</x:v>
      </x:c>
      <x:c r="F169" t="str">
        <x:v>North TLV Living</x:v>
      </x:c>
      <x:c r="G169" t="str">
        <x:v>Sample Development D</x:v>
      </x:c>
      <x:c r="H169" t="str">
        <x:v>Jabotinsky 156, Tel Aviv</x:v>
      </x:c>
      <x:c r="I169" t="str">
        <x:v>Tel Aviv</x:v>
      </x:c>
      <x:c r="J169" t="str">
        <x:v>Kikar HaMedina / New North</x:v>
      </x:c>
      <x:c r="K169" s="14" t="n">
        <x:v>0.56</x:v>
      </x:c>
      <x:c r="L169" t="str">
        <x:v>Apartment</x:v>
      </x:c>
      <x:c r="M169" t="n">
        <x:v>3</x:v>
      </x:c>
      <x:c r="N169" s="16" t="n">
        <x:v>67.3</x:v>
      </x:c>
      <x:c r="O169" t="n">
        <x:v>8</x:v>
      </x:c>
      <x:c r="P169" t="n">
        <x:v>13</x:v>
      </x:c>
      <x:c r="Q169" s="18" t="n">
        <x:v>5600000</x:v>
      </x:c>
      <x:c r="R169" s="18" t="n">
        <x:f>IFERROR(Q169/N169,"")</x:f>
        <x:v>83209.50965824666</x:v>
      </x:c>
      <x:c r="S169" t="n">
        <x:v>2025</x:v>
      </x:c>
      <x:c r="T169" t="n">
        <x:v>1</x:v>
      </x:c>
      <x:c r="U169" t="str">
        <x:v>New</x:v>
      </x:c>
      <x:c r="V169" s="16" t="n">
        <x:v>14.7</x:v>
      </x:c>
      <x:c r="W169" t="str">
        <x:v>South</x:v>
      </x:c>
      <x:c r="X169" t="n">
        <x:v>1</x:v>
      </x:c>
      <x:c r="Y169" s="16" t="n">
        <x:v>5</x:v>
      </x:c>
      <x:c r="Z169" s="1" t="b">
        <x:v>1</x:v>
      </x:c>
      <x:c r="AA169" t="str">
        <x:v>South</x:v>
      </x:c>
      <x:c r="AB169" s="16" t="n">
        <x:v>0</x:v>
      </x:c>
      <x:c r="AC169" s="16" t="n">
        <x:v>0</x:v>
      </x:c>
      <x:c r="AD169" s="1" t="b">
        <x:v>0</x:v>
      </x:c>
    </x:row>
    <x:row r="170">
      <x:c r="A170" t="str">
        <x:v>SYN-0169</x:v>
      </x:c>
      <x:c r="B170" s="12" t="n">
        <x:v>46256</x:v>
      </x:c>
      <x:c r="C170" t="str">
        <x:v>Synthetic New-Project Listing</x:v>
      </x:c>
      <x:c r="D170" t="str">
        <x:v>https://example.com/listings/SYN-0169</x:v>
      </x:c>
      <x:c r="E170" t="str">
        <x:v>New Project</x:v>
      </x:c>
      <x:c r="F170" t="str">
        <x:v>Medina Boutique</x:v>
      </x:c>
      <x:c r="G170" t="str">
        <x:v>Sample Development E</x:v>
      </x:c>
      <x:c r="H170" t="str">
        <x:v>Weizmann 66, Tel Aviv</x:v>
      </x:c>
      <x:c r="I170" t="str">
        <x:v>Tel Aviv</x:v>
      </x:c>
      <x:c r="J170" t="str">
        <x:v>Kikar HaMedina / New North</x:v>
      </x:c>
      <x:c r="K170" s="14" t="n">
        <x:v>0.24</x:v>
      </x:c>
      <x:c r="L170" t="str">
        <x:v>Apartment</x:v>
      </x:c>
      <x:c r="M170" t="n">
        <x:v>4</x:v>
      </x:c>
      <x:c r="N170" s="16" t="n">
        <x:v>106.2</x:v>
      </x:c>
      <x:c r="O170" t="n">
        <x:v>11</x:v>
      </x:c>
      <x:c r="P170" t="n">
        <x:v>15</x:v>
      </x:c>
      <x:c r="Q170" s="18" t="n">
        <x:v>8560000</x:v>
      </x:c>
      <x:c r="R170" s="18" t="n">
        <x:f>IFERROR(Q170/N170,"")</x:f>
        <x:v>80602.63653483993</x:v>
      </x:c>
      <x:c r="S170" t="n">
        <x:v>2025</x:v>
      </x:c>
      <x:c r="T170" t="n">
        <x:v>1</x:v>
      </x:c>
      <x:c r="U170" t="str">
        <x:v>New</x:v>
      </x:c>
      <x:c r="V170" s="16" t="n">
        <x:v>18.7</x:v>
      </x:c>
      <x:c r="W170" t="str">
        <x:v>South</x:v>
      </x:c>
      <x:c r="X170" t="n">
        <x:v>1</x:v>
      </x:c>
      <x:c r="Y170" s="16" t="n">
        <x:v>4</x:v>
      </x:c>
      <x:c r="Z170" s="1" t="b">
        <x:v>1</x:v>
      </x:c>
      <x:c r="AA170" t="str">
        <x:v>South, West</x:v>
      </x:c>
      <x:c r="AB170" s="16" t="n">
        <x:v>0</x:v>
      </x:c>
      <x:c r="AC170" s="16" t="n">
        <x:v>0</x:v>
      </x:c>
      <x:c r="AD170" s="1" t="b">
        <x:v>0</x:v>
      </x:c>
    </x:row>
    <x:row r="171">
      <x:c r="A171" t="str">
        <x:v>SYN-0170</x:v>
      </x:c>
      <x:c r="B171" s="12" t="n">
        <x:v>46229</x:v>
      </x:c>
      <x:c r="C171" t="str">
        <x:v>Synthetic New-Project Listing</x:v>
      </x:c>
      <x:c r="D171" t="str">
        <x:v>https://example.com/listings/SYN-0170</x:v>
      </x:c>
      <x:c r="E171" t="str">
        <x:v>New Project</x:v>
      </x:c>
      <x:c r="F171" t="str">
        <x:v>Helsinki Gardens</x:v>
      </x:c>
      <x:c r="G171" t="str">
        <x:v>Sample Development C</x:v>
      </x:c>
      <x:c r="H171" t="str">
        <x:v>Lissin 160, Tel Aviv</x:v>
      </x:c>
      <x:c r="I171" t="str">
        <x:v>Tel Aviv</x:v>
      </x:c>
      <x:c r="J171" t="str">
        <x:v>Kikar HaMedina / New North</x:v>
      </x:c>
      <x:c r="K171" s="14" t="n">
        <x:v>0.61</x:v>
      </x:c>
      <x:c r="L171" t="str">
        <x:v>Apartment</x:v>
      </x:c>
      <x:c r="M171" t="n">
        <x:v>2</x:v>
      </x:c>
      <x:c r="N171" s="16" t="n">
        <x:v>50.1</x:v>
      </x:c>
      <x:c r="O171" t="n">
        <x:v>12</x:v>
      </x:c>
      <x:c r="P171" t="n">
        <x:v>18</x:v>
      </x:c>
      <x:c r="Q171" s="18" t="n">
        <x:v>4100000</x:v>
      </x:c>
      <x:c r="R171" s="18" t="n">
        <x:f>IFERROR(Q171/N171,"")</x:f>
        <x:v>81836.32734530939</x:v>
      </x:c>
      <x:c r="S171" t="n">
        <x:v>2026</x:v>
      </x:c>
      <x:c r="T171" t="n">
        <x:v>0</x:v>
      </x:c>
      <x:c r="U171" t="str">
        <x:v>New</x:v>
      </x:c>
      <x:c r="V171" s="16" t="n">
        <x:v>9.5</x:v>
      </x:c>
      <x:c r="W171" t="str">
        <x:v>North</x:v>
      </x:c>
      <x:c r="X171" t="n">
        <x:v>1</x:v>
      </x:c>
      <x:c r="Y171" s="16" t="n">
        <x:v>7.5</x:v>
      </x:c>
      <x:c r="Z171" s="1" t="b">
        <x:v>1</x:v>
      </x:c>
      <x:c r="AA171" t="str">
        <x:v>North, South</x:v>
      </x:c>
      <x:c r="AB171" s="16" t="n">
        <x:v>0</x:v>
      </x:c>
      <x:c r="AC171" s="16" t="n">
        <x:v>0</x:v>
      </x:c>
      <x:c r="AD171" s="1" t="b">
        <x:v>0</x:v>
      </x:c>
    </x:row>
    <x:row r="172">
      <x:c r="A172" t="str">
        <x:v>SYN-0171</x:v>
      </x:c>
      <x:c r="B172" s="12" t="n">
        <x:v>46205</x:v>
      </x:c>
      <x:c r="C172" t="str">
        <x:v>Synthetic Yad2-like Listing</x:v>
      </x:c>
      <x:c r="D172" t="str">
        <x:v>https://example.com/listings/SYN-0171</x:v>
      </x:c>
      <x:c r="E172" t="str">
        <x:v>Second Hand</x:v>
      </x:c>
      <x:c r="F172" t="str"/>
      <x:c r="G172" t="str"/>
      <x:c r="H172" t="str">
        <x:v>Weizmann 146, Tel Aviv</x:v>
      </x:c>
      <x:c r="I172" t="str">
        <x:v>Tel Aviv</x:v>
      </x:c>
      <x:c r="J172" t="str">
        <x:v>Kikar HaMedina / New North</x:v>
      </x:c>
      <x:c r="K172" s="14" t="n">
        <x:v>0.16</x:v>
      </x:c>
      <x:c r="L172" t="str">
        <x:v>Apartment</x:v>
      </x:c>
      <x:c r="M172" t="n">
        <x:v>3</x:v>
      </x:c>
      <x:c r="N172" s="16" t="n">
        <x:v>73.9</x:v>
      </x:c>
      <x:c r="O172" t="n">
        <x:v>7</x:v>
      </x:c>
      <x:c r="P172" t="n">
        <x:v>14</x:v>
      </x:c>
      <x:c r="Q172" s="18" t="n">
        <x:v>5100000</x:v>
      </x:c>
      <x:c r="R172" s="18" t="n">
        <x:f>IFERROR(Q172/N172,"")</x:f>
        <x:v>69012.17861975642</x:v>
      </x:c>
      <x:c r="S172" t="n">
        <x:v>2020</x:v>
      </x:c>
      <x:c r="T172" t="n">
        <x:v>6</x:v>
      </x:c>
      <x:c r="U172" t="str">
        <x:v>Good</x:v>
      </x:c>
      <x:c r="V172" s="16" t="n">
        <x:v>0</x:v>
      </x:c>
      <x:c r="W172" t="str"/>
      <x:c r="X172" t="n">
        <x:v>1</x:v>
      </x:c>
      <x:c r="Y172" s="16" t="n">
        <x:v>0</x:v>
      </x:c>
      <x:c r="Z172" s="1" t="b">
        <x:v>1</x:v>
      </x:c>
      <x:c r="AA172" t="str">
        <x:v>South-West</x:v>
      </x:c>
      <x:c r="AB172" s="16" t="n">
        <x:v>0</x:v>
      </x:c>
      <x:c r="AC172" s="16" t="n">
        <x:v>0</x:v>
      </x:c>
      <x:c r="AD172" s="1" t="b">
        <x:v>0</x:v>
      </x:c>
    </x:row>
    <x:row r="173">
      <x:c r="A173" t="str">
        <x:v>SYN-0172</x:v>
      </x:c>
      <x:c r="B173" s="12" t="n">
        <x:v>46248</x:v>
      </x:c>
      <x:c r="C173" t="str">
        <x:v>Synthetic Yad2-like Listing</x:v>
      </x:c>
      <x:c r="D173" t="str">
        <x:v>https://example.com/listings/SYN-0172</x:v>
      </x:c>
      <x:c r="E173" t="str">
        <x:v>Second Hand</x:v>
      </x:c>
      <x:c r="F173" t="str"/>
      <x:c r="G173" t="str"/>
      <x:c r="H173" t="str">
        <x:v>Epstein 58, Tel Aviv</x:v>
      </x:c>
      <x:c r="I173" t="str">
        <x:v>Tel Aviv</x:v>
      </x:c>
      <x:c r="J173" t="str">
        <x:v>Kikar HaMedina / New North</x:v>
      </x:c>
      <x:c r="K173" s="14" t="n">
        <x:v>0.9</x:v>
      </x:c>
      <x:c r="L173" t="str">
        <x:v>Apartment</x:v>
      </x:c>
      <x:c r="M173" t="n">
        <x:v>5</x:v>
      </x:c>
      <x:c r="N173" s="16" t="n">
        <x:v>130.9</x:v>
      </x:c>
      <x:c r="O173" t="n">
        <x:v>2</x:v>
      </x:c>
      <x:c r="P173" t="n">
        <x:v>11</x:v>
      </x:c>
      <x:c r="Q173" s="18" t="n">
        <x:v>9160000</x:v>
      </x:c>
      <x:c r="R173" s="18" t="n">
        <x:f>IFERROR(Q173/N173,"")</x:f>
        <x:v>69977.08174178762</x:v>
      </x:c>
      <x:c r="S173" t="n">
        <x:v>2007</x:v>
      </x:c>
      <x:c r="T173" t="n">
        <x:v>19</x:v>
      </x:c>
      <x:c r="U173" t="str">
        <x:v>Good</x:v>
      </x:c>
      <x:c r="V173" s="16" t="n">
        <x:v>17.9</x:v>
      </x:c>
      <x:c r="W173" t="str">
        <x:v>North</x:v>
      </x:c>
      <x:c r="X173" t="n">
        <x:v>1</x:v>
      </x:c>
      <x:c r="Y173" s="16" t="n">
        <x:v>9.1</x:v>
      </x:c>
      <x:c r="Z173" s="1" t="b">
        <x:v>1</x:v>
      </x:c>
      <x:c r="AA173" t="str">
        <x:v>North</x:v>
      </x:c>
      <x:c r="AB173" s="16" t="n">
        <x:v>0</x:v>
      </x:c>
      <x:c r="AC173" s="16" t="n">
        <x:v>0</x:v>
      </x:c>
      <x:c r="AD173" s="1" t="b">
        <x:v>0</x:v>
      </x:c>
    </x:row>
    <x:row r="174">
      <x:c r="A174" t="str">
        <x:v>SYN-0173</x:v>
      </x:c>
      <x:c r="B174" s="12" t="n">
        <x:v>46228</x:v>
      </x:c>
      <x:c r="C174" t="str">
        <x:v>Synthetic Yad2-like Listing</x:v>
      </x:c>
      <x:c r="D174" t="str">
        <x:v>https://example.com/listings/SYN-0173</x:v>
      </x:c>
      <x:c r="E174" t="str">
        <x:v>Second Hand</x:v>
      </x:c>
      <x:c r="F174" t="str"/>
      <x:c r="G174" t="str"/>
      <x:c r="H174" t="str">
        <x:v>Pinkas 62, Tel Aviv</x:v>
      </x:c>
      <x:c r="I174" t="str">
        <x:v>Tel Aviv</x:v>
      </x:c>
      <x:c r="J174" t="str">
        <x:v>Kikar HaMedina / New North</x:v>
      </x:c>
      <x:c r="K174" s="14" t="n">
        <x:v>0.53</x:v>
      </x:c>
      <x:c r="L174" t="str">
        <x:v>Apartment</x:v>
      </x:c>
      <x:c r="M174" t="n">
        <x:v>3</x:v>
      </x:c>
      <x:c r="N174" s="16" t="n">
        <x:v>81.7</x:v>
      </x:c>
      <x:c r="O174" t="n">
        <x:v>7</x:v>
      </x:c>
      <x:c r="P174" t="n">
        <x:v>13</x:v>
      </x:c>
      <x:c r="Q174" s="18" t="n">
        <x:v>5240000</x:v>
      </x:c>
      <x:c r="R174" s="18" t="n">
        <x:f>IFERROR(Q174/N174,"")</x:f>
        <x:v>64137.08690330477</x:v>
      </x:c>
      <x:c r="S174" t="n">
        <x:v>1990</x:v>
      </x:c>
      <x:c r="T174" t="n">
        <x:v>36</x:v>
      </x:c>
      <x:c r="U174" t="str">
        <x:v>Needs Renovation</x:v>
      </x:c>
      <x:c r="V174" s="16" t="n">
        <x:v>10.4</x:v>
      </x:c>
      <x:c r="W174" t="str">
        <x:v>North</x:v>
      </x:c>
      <x:c r="X174" t="n">
        <x:v>1</x:v>
      </x:c>
      <x:c r="Y174" s="16" t="n">
        <x:v>0</x:v>
      </x:c>
      <x:c r="Z174" s="1" t="b">
        <x:v>1</x:v>
      </x:c>
      <x:c r="AA174" t="str">
        <x:v>North, West</x:v>
      </x:c>
      <x:c r="AB174" s="16" t="n">
        <x:v>0</x:v>
      </x:c>
      <x:c r="AC174" s="16" t="n">
        <x:v>0</x:v>
      </x:c>
      <x:c r="AD174" s="1" t="b">
        <x:v>0</x:v>
      </x:c>
    </x:row>
    <x:row r="175">
      <x:c r="A175" t="str">
        <x:v>SYN-0174</x:v>
      </x:c>
      <x:c r="B175" s="12" t="n">
        <x:v>46244</x:v>
      </x:c>
      <x:c r="C175" t="str">
        <x:v>Synthetic Yad2-like Listing</x:v>
      </x:c>
      <x:c r="D175" t="str">
        <x:v>https://example.com/listings/SYN-0174</x:v>
      </x:c>
      <x:c r="E175" t="str">
        <x:v>Second Hand</x:v>
      </x:c>
      <x:c r="F175" t="str"/>
      <x:c r="G175" t="str"/>
      <x:c r="H175" t="str">
        <x:v>Helsinki 143, Tel Aviv</x:v>
      </x:c>
      <x:c r="I175" t="str">
        <x:v>Tel Aviv</x:v>
      </x:c>
      <x:c r="J175" t="str">
        <x:v>Kikar HaMedina / New North</x:v>
      </x:c>
      <x:c r="K175" s="14" t="n">
        <x:v>0.14</x:v>
      </x:c>
      <x:c r="L175" t="str">
        <x:v>Apartment</x:v>
      </x:c>
      <x:c r="M175" t="n">
        <x:v>3</x:v>
      </x:c>
      <x:c r="N175" s="16" t="n">
        <x:v>75.6</x:v>
      </x:c>
      <x:c r="O175" t="n">
        <x:v>12</x:v>
      </x:c>
      <x:c r="P175" t="n">
        <x:v>17</x:v>
      </x:c>
      <x:c r="Q175" s="18" t="n">
        <x:v>5260000</x:v>
      </x:c>
      <x:c r="R175" s="18" t="n">
        <x:f>IFERROR(Q175/N175,"")</x:f>
        <x:v>69576.71957671958</x:v>
      </x:c>
      <x:c r="S175" t="n">
        <x:v>1966</x:v>
      </x:c>
      <x:c r="T175" t="n">
        <x:v>60</x:v>
      </x:c>
      <x:c r="U175" t="str">
        <x:v>Good</x:v>
      </x:c>
      <x:c r="V175" s="16" t="n">
        <x:v>0</x:v>
      </x:c>
      <x:c r="W175" t="str"/>
      <x:c r="X175" t="n">
        <x:v>1</x:v>
      </x:c>
      <x:c r="Y175" s="16" t="n">
        <x:v>6.5</x:v>
      </x:c>
      <x:c r="Z175" s="1" t="b">
        <x:v>1</x:v>
      </x:c>
      <x:c r="AA175" t="str">
        <x:v>South</x:v>
      </x:c>
      <x:c r="AB175" s="16" t="n">
        <x:v>0</x:v>
      </x:c>
      <x:c r="AC175" s="16" t="n">
        <x:v>0</x:v>
      </x:c>
      <x:c r="AD175" s="1" t="b">
        <x:v>0</x:v>
      </x:c>
    </x:row>
    <x:row r="176">
      <x:c r="A176" t="str">
        <x:v>SYN-0175</x:v>
      </x:c>
      <x:c r="B176" s="12" t="n">
        <x:v>46237</x:v>
      </x:c>
      <x:c r="C176" t="str">
        <x:v>Synthetic New-Project Listing</x:v>
      </x:c>
      <x:c r="D176" t="str">
        <x:v>https://example.com/listings/SYN-0175</x:v>
      </x:c>
      <x:c r="E176" t="str">
        <x:v>New Project</x:v>
      </x:c>
      <x:c r="F176" t="str">
        <x:v>North TLV Living</x:v>
      </x:c>
      <x:c r="G176" t="str">
        <x:v>Sample Development D</x:v>
      </x:c>
      <x:c r="H176" t="str">
        <x:v>Mosenzon 169, Tel Aviv</x:v>
      </x:c>
      <x:c r="I176" t="str">
        <x:v>Tel Aviv</x:v>
      </x:c>
      <x:c r="J176" t="str">
        <x:v>Kikar HaMedina / New North</x:v>
      </x:c>
      <x:c r="K176" s="14" t="n">
        <x:v>0.79</x:v>
      </x:c>
      <x:c r="L176" t="str">
        <x:v>Apartment</x:v>
      </x:c>
      <x:c r="M176" t="n">
        <x:v>4</x:v>
      </x:c>
      <x:c r="N176" s="16" t="n">
        <x:v>92.1</x:v>
      </x:c>
      <x:c r="O176" t="n">
        <x:v>10</x:v>
      </x:c>
      <x:c r="P176" t="n">
        <x:v>18</x:v>
      </x:c>
      <x:c r="Q176" s="18" t="n">
        <x:v>7210000</x:v>
      </x:c>
      <x:c r="R176" s="18" t="n">
        <x:f>IFERROR(Q176/N176,"")</x:f>
        <x:v>78284.47339847992</x:v>
      </x:c>
      <x:c r="S176" t="n">
        <x:v>2027</x:v>
      </x:c>
      <x:c r="T176" t="n">
        <x:v>0</x:v>
      </x:c>
      <x:c r="U176" t="str">
        <x:v>New</x:v>
      </x:c>
      <x:c r="V176" s="16" t="n">
        <x:v>8.9</x:v>
      </x:c>
      <x:c r="W176" t="str">
        <x:v>West</x:v>
      </x:c>
      <x:c r="X176" t="n">
        <x:v>1</x:v>
      </x:c>
      <x:c r="Y176" s="16" t="n">
        <x:v>8.4</x:v>
      </x:c>
      <x:c r="Z176" s="1" t="b">
        <x:v>1</x:v>
      </x:c>
      <x:c r="AA176" t="str">
        <x:v>West</x:v>
      </x:c>
      <x:c r="AB176" s="16" t="n">
        <x:v>0</x:v>
      </x:c>
      <x:c r="AC176" s="16" t="n">
        <x:v>0</x:v>
      </x:c>
      <x:c r="AD176" s="1" t="b">
        <x:v>0</x:v>
      </x:c>
    </x:row>
    <x:row r="177">
      <x:c r="A177" t="str">
        <x:v>SYN-0176</x:v>
      </x:c>
      <x:c r="B177" s="12" t="n">
        <x:v>46241</x:v>
      </x:c>
      <x:c r="C177" t="str">
        <x:v>Synthetic New-Project Listing</x:v>
      </x:c>
      <x:c r="D177" t="str">
        <x:v>https://example.com/listings/SYN-0176</x:v>
      </x:c>
      <x:c r="E177" t="str">
        <x:v>New Project</x:v>
      </x:c>
      <x:c r="F177" t="str">
        <x:v>Weizmann Urban</x:v>
      </x:c>
      <x:c r="G177" t="str">
        <x:v>Sample Development B</x:v>
      </x:c>
      <x:c r="H177" t="str">
        <x:v>Lissin 49, Tel Aviv</x:v>
      </x:c>
      <x:c r="I177" t="str">
        <x:v>Tel Aviv</x:v>
      </x:c>
      <x:c r="J177" t="str">
        <x:v>Kikar HaMedina / New North</x:v>
      </x:c>
      <x:c r="K177" s="14" t="n">
        <x:v>0.61</x:v>
      </x:c>
      <x:c r="L177" t="str">
        <x:v>Apartment</x:v>
      </x:c>
      <x:c r="M177" t="n">
        <x:v>2</x:v>
      </x:c>
      <x:c r="N177" s="16" t="n">
        <x:v>58.6</x:v>
      </x:c>
      <x:c r="O177" t="n">
        <x:v>7</x:v>
      </x:c>
      <x:c r="P177" t="n">
        <x:v>10</x:v>
      </x:c>
      <x:c r="Q177" s="18" t="n">
        <x:v>5170000</x:v>
      </x:c>
      <x:c r="R177" s="18" t="n">
        <x:f>IFERROR(Q177/N177,"")</x:f>
        <x:v>88225.25597269625</x:v>
      </x:c>
      <x:c r="S177" t="n">
        <x:v>2026</x:v>
      </x:c>
      <x:c r="T177" t="n">
        <x:v>0</x:v>
      </x:c>
      <x:c r="U177" t="str">
        <x:v>New</x:v>
      </x:c>
      <x:c r="V177" s="16" t="n">
        <x:v>14.5</x:v>
      </x:c>
      <x:c r="W177" t="str">
        <x:v>North-East</x:v>
      </x:c>
      <x:c r="X177" t="n">
        <x:v>1</x:v>
      </x:c>
      <x:c r="Y177" s="16" t="n">
        <x:v>9.5</x:v>
      </x:c>
      <x:c r="Z177" s="1" t="b">
        <x:v>1</x:v>
      </x:c>
      <x:c r="AA177" t="str">
        <x:v>North-East, East</x:v>
      </x:c>
      <x:c r="AB177" s="16" t="n">
        <x:v>0</x:v>
      </x:c>
      <x:c r="AC177" s="16" t="n">
        <x:v>0</x:v>
      </x:c>
      <x:c r="AD177" s="1" t="b">
        <x:v>0</x:v>
      </x:c>
    </x:row>
    <x:row r="178">
      <x:c r="A178" t="str">
        <x:v>SYN-0177</x:v>
      </x:c>
      <x:c r="B178" s="12" t="n">
        <x:v>46242</x:v>
      </x:c>
      <x:c r="C178" t="str">
        <x:v>Synthetic New-Project Listing</x:v>
      </x:c>
      <x:c r="D178" t="str">
        <x:v>https://example.com/listings/SYN-0177</x:v>
      </x:c>
      <x:c r="E178" t="str">
        <x:v>New Project</x:v>
      </x:c>
      <x:c r="F178" t="str">
        <x:v>Medina Boutique</x:v>
      </x:c>
      <x:c r="G178" t="str">
        <x:v>Sample Development E</x:v>
      </x:c>
      <x:c r="H178" t="str">
        <x:v>Pinkas 100, Tel Aviv</x:v>
      </x:c>
      <x:c r="I178" t="str">
        <x:v>Tel Aviv</x:v>
      </x:c>
      <x:c r="J178" t="str">
        <x:v>Kikar HaMedina / New North</x:v>
      </x:c>
      <x:c r="K178" s="14" t="n">
        <x:v>0.44</x:v>
      </x:c>
      <x:c r="L178" t="str">
        <x:v>Apartment</x:v>
      </x:c>
      <x:c r="M178" t="n">
        <x:v>5</x:v>
      </x:c>
      <x:c r="N178" s="16" t="n">
        <x:v>123.9</x:v>
      </x:c>
      <x:c r="O178" t="n">
        <x:v>9</x:v>
      </x:c>
      <x:c r="P178" t="n">
        <x:v>18</x:v>
      </x:c>
      <x:c r="Q178" s="18" t="n">
        <x:v>9990000</x:v>
      </x:c>
      <x:c r="R178" s="18" t="n">
        <x:f>IFERROR(Q178/N178,"")</x:f>
        <x:v>80629.53995157384</x:v>
      </x:c>
      <x:c r="S178" t="n">
        <x:v>2025</x:v>
      </x:c>
      <x:c r="T178" t="n">
        <x:v>1</x:v>
      </x:c>
      <x:c r="U178" t="str">
        <x:v>New</x:v>
      </x:c>
      <x:c r="V178" s="16" t="n">
        <x:v>20.7</x:v>
      </x:c>
      <x:c r="W178" t="str">
        <x:v>North</x:v>
      </x:c>
      <x:c r="X178" t="n">
        <x:v>1</x:v>
      </x:c>
      <x:c r="Y178" s="16" t="n">
        <x:v>9.5</x:v>
      </x:c>
      <x:c r="Z178" s="1" t="b">
        <x:v>1</x:v>
      </x:c>
      <x:c r="AA178" t="str">
        <x:v>North, North</x:v>
      </x:c>
      <x:c r="AB178" s="16" t="n">
        <x:v>0</x:v>
      </x:c>
      <x:c r="AC178" s="16" t="n">
        <x:v>0</x:v>
      </x:c>
      <x:c r="AD178" s="1" t="b">
        <x:v>0</x:v>
      </x:c>
    </x:row>
    <x:row r="179">
      <x:c r="A179" t="str">
        <x:v>SYN-0178</x:v>
      </x:c>
      <x:c r="B179" s="12" t="n">
        <x:v>46212</x:v>
      </x:c>
      <x:c r="C179" t="str">
        <x:v>Synthetic Yad2-like Listing</x:v>
      </x:c>
      <x:c r="D179" t="str">
        <x:v>https://example.com/listings/SYN-0178</x:v>
      </x:c>
      <x:c r="E179" t="str">
        <x:v>Second Hand</x:v>
      </x:c>
      <x:c r="F179" t="str"/>
      <x:c r="G179" t="str"/>
      <x:c r="H179" t="str">
        <x:v>Jabotinsky 52, Tel Aviv</x:v>
      </x:c>
      <x:c r="I179" t="str">
        <x:v>Tel Aviv</x:v>
      </x:c>
      <x:c r="J179" t="str">
        <x:v>Kikar HaMedina / New North</x:v>
      </x:c>
      <x:c r="K179" s="14" t="n">
        <x:v>0.51</x:v>
      </x:c>
      <x:c r="L179" t="str">
        <x:v>Apartment</x:v>
      </x:c>
      <x:c r="M179" t="n">
        <x:v>4</x:v>
      </x:c>
      <x:c r="N179" s="16" t="n">
        <x:v>93.5</x:v>
      </x:c>
      <x:c r="O179" t="n">
        <x:v>5</x:v>
      </x:c>
      <x:c r="P179" t="n">
        <x:v>10</x:v>
      </x:c>
      <x:c r="Q179" s="18" t="n">
        <x:v>6060000</x:v>
      </x:c>
      <x:c r="R179" s="18" t="n">
        <x:f>IFERROR(Q179/N179,"")</x:f>
        <x:v>64812.83422459893</x:v>
      </x:c>
      <x:c r="S179" t="n">
        <x:v>2007</x:v>
      </x:c>
      <x:c r="T179" t="n">
        <x:v>19</x:v>
      </x:c>
      <x:c r="U179" t="str">
        <x:v>Needs Renovation</x:v>
      </x:c>
      <x:c r="V179" s="16" t="n">
        <x:v>14.6</x:v>
      </x:c>
      <x:c r="W179" t="str">
        <x:v>North-East</x:v>
      </x:c>
      <x:c r="X179" t="n">
        <x:v>0</x:v>
      </x:c>
      <x:c r="Y179" s="16" t="n">
        <x:v>0</x:v>
      </x:c>
      <x:c r="Z179" s="1" t="b">
        <x:v>1</x:v>
      </x:c>
      <x:c r="AA179" t="str">
        <x:v>North-East</x:v>
      </x:c>
      <x:c r="AB179" s="16" t="n">
        <x:v>0</x:v>
      </x:c>
      <x:c r="AC179" s="16" t="n">
        <x:v>0</x:v>
      </x:c>
      <x:c r="AD179" s="1" t="b">
        <x:v>0</x:v>
      </x:c>
    </x:row>
    <x:row r="180">
      <x:c r="A180" t="str">
        <x:v>SYN-0179</x:v>
      </x:c>
      <x:c r="B180" s="12" t="n">
        <x:v>46216</x:v>
      </x:c>
      <x:c r="C180" t="str">
        <x:v>Synthetic Yad2-like Listing</x:v>
      </x:c>
      <x:c r="D180" t="str">
        <x:v>https://example.com/listings/SYN-0179</x:v>
      </x:c>
      <x:c r="E180" t="str">
        <x:v>Second Hand</x:v>
      </x:c>
      <x:c r="F180" t="str"/>
      <x:c r="G180" t="str"/>
      <x:c r="H180" t="str">
        <x:v>Klay 4, Tel Aviv</x:v>
      </x:c>
      <x:c r="I180" t="str">
        <x:v>Tel Aviv</x:v>
      </x:c>
      <x:c r="J180" t="str">
        <x:v>Kikar HaMedina / New North</x:v>
      </x:c>
      <x:c r="K180" s="14" t="n">
        <x:v>0.57</x:v>
      </x:c>
      <x:c r="L180" t="str">
        <x:v>Apartment</x:v>
      </x:c>
      <x:c r="M180" t="n">
        <x:v>4</x:v>
      </x:c>
      <x:c r="N180" s="16" t="n">
        <x:v>107.2</x:v>
      </x:c>
      <x:c r="O180" t="n">
        <x:v>8</x:v>
      </x:c>
      <x:c r="P180" t="n">
        <x:v>17</x:v>
      </x:c>
      <x:c r="Q180" s="18" t="n">
        <x:v>7460000</x:v>
      </x:c>
      <x:c r="R180" s="18" t="n">
        <x:f>IFERROR(Q180/N180,"")</x:f>
        <x:v>69589.55223880596</x:v>
      </x:c>
      <x:c r="S180" t="n">
        <x:v>2005</x:v>
      </x:c>
      <x:c r="T180" t="n">
        <x:v>21</x:v>
      </x:c>
      <x:c r="U180" t="str">
        <x:v>Good</x:v>
      </x:c>
      <x:c r="V180" s="16" t="n">
        <x:v>9.8</x:v>
      </x:c>
      <x:c r="W180" t="str">
        <x:v>North-West</x:v>
      </x:c>
      <x:c r="X180" t="n">
        <x:v>1</x:v>
      </x:c>
      <x:c r="Y180" s="16" t="n">
        <x:v>0</x:v>
      </x:c>
      <x:c r="Z180" s="1" t="b">
        <x:v>0</x:v>
      </x:c>
      <x:c r="AA180" t="str">
        <x:v>North-West, South</x:v>
      </x:c>
      <x:c r="AB180" s="16" t="n">
        <x:v>0</x:v>
      </x:c>
      <x:c r="AC180" s="16" t="n">
        <x:v>0</x:v>
      </x:c>
      <x:c r="AD180" s="1" t="b">
        <x:v>0</x:v>
      </x:c>
    </x:row>
    <x:row r="181">
      <x:c r="A181" t="str">
        <x:v>SYN-0180</x:v>
      </x:c>
      <x:c r="B181" s="12" t="n">
        <x:v>46222</x:v>
      </x:c>
      <x:c r="C181" t="str">
        <x:v>Synthetic New-Project Listing</x:v>
      </x:c>
      <x:c r="D181" t="str">
        <x:v>https://example.com/listings/SYN-0180</x:v>
      </x:c>
      <x:c r="E181" t="str">
        <x:v>New Project</x:v>
      </x:c>
      <x:c r="F181" t="str">
        <x:v>Medina Boutique</x:v>
      </x:c>
      <x:c r="G181" t="str">
        <x:v>Sample Development E</x:v>
      </x:c>
      <x:c r="H181" t="str">
        <x:v>Klay 58, Tel Aviv</x:v>
      </x:c>
      <x:c r="I181" t="str">
        <x:v>Tel Aviv</x:v>
      </x:c>
      <x:c r="J181" t="str">
        <x:v>Kikar HaMedina / New North</x:v>
      </x:c>
      <x:c r="K181" s="14" t="n">
        <x:v>0.75</x:v>
      </x:c>
      <x:c r="L181" t="str">
        <x:v>Apartment</x:v>
      </x:c>
      <x:c r="M181" t="n">
        <x:v>4</x:v>
      </x:c>
      <x:c r="N181" s="16" t="n">
        <x:v>107.7</x:v>
      </x:c>
      <x:c r="O181" t="n">
        <x:v>10</x:v>
      </x:c>
      <x:c r="P181" t="n">
        <x:v>15</x:v>
      </x:c>
      <x:c r="Q181" s="18" t="n">
        <x:v>9100000</x:v>
      </x:c>
      <x:c r="R181" s="18" t="n">
        <x:f>IFERROR(Q181/N181,"")</x:f>
        <x:v>84493.96471680595</x:v>
      </x:c>
      <x:c r="S181" t="n">
        <x:v>2025</x:v>
      </x:c>
      <x:c r="T181" t="n">
        <x:v>1</x:v>
      </x:c>
      <x:c r="U181" t="str">
        <x:v>New</x:v>
      </x:c>
      <x:c r="V181" s="16" t="n">
        <x:v>20.5</x:v>
      </x:c>
      <x:c r="W181" t="str">
        <x:v>West</x:v>
      </x:c>
      <x:c r="X181" t="n">
        <x:v>1</x:v>
      </x:c>
      <x:c r="Y181" s="16" t="n">
        <x:v>8.7</x:v>
      </x:c>
      <x:c r="Z181" s="1" t="b">
        <x:v>1</x:v>
      </x:c>
      <x:c r="AA181" t="str">
        <x:v>West</x:v>
      </x:c>
      <x:c r="AB181" s="16" t="n">
        <x:v>0</x:v>
      </x:c>
      <x:c r="AC181" s="16" t="n">
        <x:v>0</x:v>
      </x:c>
      <x:c r="AD181" s="1" t="b">
        <x:v>0</x:v>
      </x:c>
    </x:row>
    <x:row r="182">
      <x:c r="A182" t="str">
        <x:v>SYN-0181</x:v>
      </x:c>
      <x:c r="B182" s="12" t="n">
        <x:v>46247</x:v>
      </x:c>
      <x:c r="C182" t="str">
        <x:v>Synthetic Yad2-like Listing</x:v>
      </x:c>
      <x:c r="D182" t="str">
        <x:v>https://example.com/listings/SYN-0181</x:v>
      </x:c>
      <x:c r="E182" t="str">
        <x:v>Second Hand</x:v>
      </x:c>
      <x:c r="F182" t="str"/>
      <x:c r="G182" t="str"/>
      <x:c r="H182" t="str">
        <x:v>Mosenzon 155, Tel Aviv</x:v>
      </x:c>
      <x:c r="I182" t="str">
        <x:v>Tel Aviv</x:v>
      </x:c>
      <x:c r="J182" t="str">
        <x:v>Kikar HaMedina / New North</x:v>
      </x:c>
      <x:c r="K182" s="14" t="n">
        <x:v>0.8</x:v>
      </x:c>
      <x:c r="L182" t="str">
        <x:v>Apartment</x:v>
      </x:c>
      <x:c r="M182" t="n">
        <x:v>2</x:v>
      </x:c>
      <x:c r="N182" s="16" t="n">
        <x:v>51.3</x:v>
      </x:c>
      <x:c r="O182" t="n">
        <x:v>6</x:v>
      </x:c>
      <x:c r="P182" t="n">
        <x:v>17</x:v>
      </x:c>
      <x:c r="Q182" s="18" t="n">
        <x:v>3680000</x:v>
      </x:c>
      <x:c r="R182" s="18" t="n">
        <x:f>IFERROR(Q182/N182,"")</x:f>
        <x:v>71734.89278752437</x:v>
      </x:c>
      <x:c r="S182" t="n">
        <x:v>1988</x:v>
      </x:c>
      <x:c r="T182" t="n">
        <x:v>38</x:v>
      </x:c>
      <x:c r="U182" t="str">
        <x:v>Good</x:v>
      </x:c>
      <x:c r="V182" s="16" t="n">
        <x:v>8.2</x:v>
      </x:c>
      <x:c r="W182" t="str">
        <x:v>North-East</x:v>
      </x:c>
      <x:c r="X182" t="n">
        <x:v>1</x:v>
      </x:c>
      <x:c r="Y182" s="16" t="n">
        <x:v>0</x:v>
      </x:c>
      <x:c r="Z182" s="1" t="b">
        <x:v>1</x:v>
      </x:c>
      <x:c r="AA182" t="str">
        <x:v>North-East, North</x:v>
      </x:c>
      <x:c r="AB182" s="16" t="n">
        <x:v>0</x:v>
      </x:c>
      <x:c r="AC182" s="16" t="n">
        <x:v>0</x:v>
      </x:c>
      <x:c r="AD182" s="1" t="b">
        <x:v>0</x:v>
      </x:c>
    </x:row>
    <x:row r="183">
      <x:c r="A183" t="str">
        <x:v>SYN-0182</x:v>
      </x:c>
      <x:c r="B183" s="12" t="n">
        <x:v>46254</x:v>
      </x:c>
      <x:c r="C183" t="str">
        <x:v>Synthetic New-Project Listing</x:v>
      </x:c>
      <x:c r="D183" t="str">
        <x:v>https://example.com/listings/SYN-0182</x:v>
      </x:c>
      <x:c r="E183" t="str">
        <x:v>New Project</x:v>
      </x:c>
      <x:c r="F183" t="str">
        <x:v>Kikar Residence</x:v>
      </x:c>
      <x:c r="G183" t="str">
        <x:v>Sample Development A</x:v>
      </x:c>
      <x:c r="H183" t="str">
        <x:v>Pinkas 83, Tel Aviv</x:v>
      </x:c>
      <x:c r="I183" t="str">
        <x:v>Tel Aviv</x:v>
      </x:c>
      <x:c r="J183" t="str">
        <x:v>Kikar HaMedina / New North</x:v>
      </x:c>
      <x:c r="K183" s="14" t="n">
        <x:v>0.35</x:v>
      </x:c>
      <x:c r="L183" t="str">
        <x:v>Duplex</x:v>
      </x:c>
      <x:c r="M183" t="n">
        <x:v>5</x:v>
      </x:c>
      <x:c r="N183" s="16" t="n">
        <x:v>131.1</x:v>
      </x:c>
      <x:c r="O183" t="n">
        <x:v>1</x:v>
      </x:c>
      <x:c r="P183" t="n">
        <x:v>10</x:v>
      </x:c>
      <x:c r="Q183" s="18" t="n">
        <x:v>10970000</x:v>
      </x:c>
      <x:c r="R183" s="18" t="n">
        <x:f>IFERROR(Q183/N183,"")</x:f>
        <x:v>83676.58276125096</x:v>
      </x:c>
      <x:c r="S183" t="n">
        <x:v>2025</x:v>
      </x:c>
      <x:c r="T183" t="n">
        <x:v>1</x:v>
      </x:c>
      <x:c r="U183" t="str">
        <x:v>New</x:v>
      </x:c>
      <x:c r="V183" s="16" t="n">
        <x:v>14.3</x:v>
      </x:c>
      <x:c r="W183" t="str">
        <x:v>East</x:v>
      </x:c>
      <x:c r="X183" t="n">
        <x:v>2</x:v>
      </x:c>
      <x:c r="Y183" s="16" t="n">
        <x:v>8</x:v>
      </x:c>
      <x:c r="Z183" s="1" t="b">
        <x:v>1</x:v>
      </x:c>
      <x:c r="AA183" t="str">
        <x:v>East, East</x:v>
      </x:c>
      <x:c r="AB183" s="16" t="n">
        <x:v>0</x:v>
      </x:c>
      <x:c r="AC183" s="16" t="n">
        <x:v>0</x:v>
      </x:c>
      <x:c r="AD183" s="1" t="b">
        <x:v>0</x:v>
      </x:c>
    </x:row>
    <x:row r="184">
      <x:c r="A184" t="str">
        <x:v>SYN-0183</x:v>
      </x:c>
      <x:c r="B184" s="12" t="n">
        <x:v>46204</x:v>
      </x:c>
      <x:c r="C184" t="str">
        <x:v>Synthetic Yad2-like Listing</x:v>
      </x:c>
      <x:c r="D184" t="str">
        <x:v>https://example.com/listings/SYN-0183</x:v>
      </x:c>
      <x:c r="E184" t="str">
        <x:v>Second Hand</x:v>
      </x:c>
      <x:c r="F184" t="str"/>
      <x:c r="G184" t="str"/>
      <x:c r="H184" t="str">
        <x:v>Mosenzon 159, Tel Aviv</x:v>
      </x:c>
      <x:c r="I184" t="str">
        <x:v>Tel Aviv</x:v>
      </x:c>
      <x:c r="J184" t="str">
        <x:v>Kikar HaMedina / New North</x:v>
      </x:c>
      <x:c r="K184" s="14" t="n">
        <x:v>0.77</x:v>
      </x:c>
      <x:c r="L184" t="str">
        <x:v>Apartment</x:v>
      </x:c>
      <x:c r="M184" t="n">
        <x:v>3</x:v>
      </x:c>
      <x:c r="N184" s="16" t="n">
        <x:v>83</x:v>
      </x:c>
      <x:c r="O184" t="n">
        <x:v>5</x:v>
      </x:c>
      <x:c r="P184" t="n">
        <x:v>14</x:v>
      </x:c>
      <x:c r="Q184" s="18" t="n">
        <x:v>5440000</x:v>
      </x:c>
      <x:c r="R184" s="18" t="n">
        <x:f>IFERROR(Q184/N184,"")</x:f>
        <x:v>65542.1686746988</x:v>
      </x:c>
      <x:c r="S184" t="n">
        <x:v>1974</x:v>
      </x:c>
      <x:c r="T184" t="n">
        <x:v>52</x:v>
      </x:c>
      <x:c r="U184" t="str">
        <x:v>Needs Renovation</x:v>
      </x:c>
      <x:c r="V184" s="16" t="n">
        <x:v>9.1</x:v>
      </x:c>
      <x:c r="W184" t="str">
        <x:v>East</x:v>
      </x:c>
      <x:c r="X184" t="n">
        <x:v>1</x:v>
      </x:c>
      <x:c r="Y184" s="16" t="n">
        <x:v>0</x:v>
      </x:c>
      <x:c r="Z184" s="1" t="b">
        <x:v>1</x:v>
      </x:c>
      <x:c r="AA184" t="str">
        <x:v>East, South</x:v>
      </x:c>
      <x:c r="AB184" s="16" t="n">
        <x:v>0</x:v>
      </x:c>
      <x:c r="AC184" s="16" t="n">
        <x:v>0</x:v>
      </x:c>
      <x:c r="AD184" s="1" t="b">
        <x:v>0</x:v>
      </x:c>
    </x:row>
    <x:row r="185">
      <x:c r="A185" t="str">
        <x:v>SYN-0184</x:v>
      </x:c>
      <x:c r="B185" s="12" t="n">
        <x:v>46210</x:v>
      </x:c>
      <x:c r="C185" t="str">
        <x:v>Synthetic New-Project Listing</x:v>
      </x:c>
      <x:c r="D185" t="str">
        <x:v>https://example.com/listings/SYN-0184</x:v>
      </x:c>
      <x:c r="E185" t="str">
        <x:v>New Project</x:v>
      </x:c>
      <x:c r="F185" t="str">
        <x:v>Helsinki Gardens</x:v>
      </x:c>
      <x:c r="G185" t="str">
        <x:v>Sample Development C</x:v>
      </x:c>
      <x:c r="H185" t="str">
        <x:v>Klay 131, Tel Aviv</x:v>
      </x:c>
      <x:c r="I185" t="str">
        <x:v>Tel Aviv</x:v>
      </x:c>
      <x:c r="J185" t="str">
        <x:v>Kikar HaMedina / New North</x:v>
      </x:c>
      <x:c r="K185" s="14" t="n">
        <x:v>0.66</x:v>
      </x:c>
      <x:c r="L185" t="str">
        <x:v>Apartment</x:v>
      </x:c>
      <x:c r="M185" t="n">
        <x:v>3</x:v>
      </x:c>
      <x:c r="N185" s="16" t="n">
        <x:v>70.5</x:v>
      </x:c>
      <x:c r="O185" t="n">
        <x:v>10</x:v>
      </x:c>
      <x:c r="P185" t="n">
        <x:v>14</x:v>
      </x:c>
      <x:c r="Q185" s="18" t="n">
        <x:v>5860000</x:v>
      </x:c>
      <x:c r="R185" s="18" t="n">
        <x:f>IFERROR(Q185/N185,"")</x:f>
        <x:v>83120.56737588653</x:v>
      </x:c>
      <x:c r="S185" t="n">
        <x:v>2027</x:v>
      </x:c>
      <x:c r="T185" t="n">
        <x:v>0</x:v>
      </x:c>
      <x:c r="U185" t="str">
        <x:v>New</x:v>
      </x:c>
      <x:c r="V185" s="16" t="n">
        <x:v>13.1</x:v>
      </x:c>
      <x:c r="W185" t="str">
        <x:v>South</x:v>
      </x:c>
      <x:c r="X185" t="n">
        <x:v>1</x:v>
      </x:c>
      <x:c r="Y185" s="16" t="n">
        <x:v>5</x:v>
      </x:c>
      <x:c r="Z185" s="1" t="b">
        <x:v>1</x:v>
      </x:c>
      <x:c r="AA185" t="str">
        <x:v>South, South</x:v>
      </x:c>
      <x:c r="AB185" s="16" t="n">
        <x:v>0</x:v>
      </x:c>
      <x:c r="AC185" s="16" t="n">
        <x:v>0</x:v>
      </x:c>
      <x:c r="AD185" s="1" t="b">
        <x:v>0</x:v>
      </x:c>
    </x:row>
    <x:row r="186">
      <x:c r="A186" t="str">
        <x:v>SYN-0185</x:v>
      </x:c>
      <x:c r="B186" s="12" t="n">
        <x:v>46208</x:v>
      </x:c>
      <x:c r="C186" t="str">
        <x:v>Synthetic New-Project Listing</x:v>
      </x:c>
      <x:c r="D186" t="str">
        <x:v>https://example.com/listings/SYN-0185</x:v>
      </x:c>
      <x:c r="E186" t="str">
        <x:v>New Project</x:v>
      </x:c>
      <x:c r="F186" t="str">
        <x:v>North TLV Living</x:v>
      </x:c>
      <x:c r="G186" t="str">
        <x:v>Sample Development D</x:v>
      </x:c>
      <x:c r="H186" t="str">
        <x:v>Weizmann 118, Tel Aviv</x:v>
      </x:c>
      <x:c r="I186" t="str">
        <x:v>Tel Aviv</x:v>
      </x:c>
      <x:c r="J186" t="str">
        <x:v>Kikar HaMedina / New North</x:v>
      </x:c>
      <x:c r="K186" s="14" t="n">
        <x:v>0.25</x:v>
      </x:c>
      <x:c r="L186" t="str">
        <x:v>Garden Apartment</x:v>
      </x:c>
      <x:c r="M186" t="n">
        <x:v>5</x:v>
      </x:c>
      <x:c r="N186" s="16" t="n">
        <x:v>126</x:v>
      </x:c>
      <x:c r="O186" t="n">
        <x:v>0</x:v>
      </x:c>
      <x:c r="P186" t="n">
        <x:v>14</x:v>
      </x:c>
      <x:c r="Q186" s="18" t="n">
        <x:v>11640000</x:v>
      </x:c>
      <x:c r="R186" s="18" t="n">
        <x:f>IFERROR(Q186/N186,"")</x:f>
        <x:v>92380.95238095238</x:v>
      </x:c>
      <x:c r="S186" t="n">
        <x:v>2027</x:v>
      </x:c>
      <x:c r="T186" t="n">
        <x:v>0</x:v>
      </x:c>
      <x:c r="U186" t="str">
        <x:v>New</x:v>
      </x:c>
      <x:c r="V186" s="16" t="n">
        <x:v>91.2</x:v>
      </x:c>
      <x:c r="W186" t="str">
        <x:v>South-East</x:v>
      </x:c>
      <x:c r="X186" t="n">
        <x:v>2</x:v>
      </x:c>
      <x:c r="Y186" s="16" t="n">
        <x:v>0</x:v>
      </x:c>
      <x:c r="Z186" s="1" t="b">
        <x:v>1</x:v>
      </x:c>
      <x:c r="AA186" t="str">
        <x:v>South-East</x:v>
      </x:c>
      <x:c r="AB186" s="16" t="n">
        <x:v>108.3</x:v>
      </x:c>
      <x:c r="AC186" s="16" t="n">
        <x:v>0</x:v>
      </x:c>
      <x:c r="AD186" s="1" t="b">
        <x:v>0</x:v>
      </x:c>
    </x:row>
    <x:row r="187">
      <x:c r="A187" t="str">
        <x:v>SYN-0186</x:v>
      </x:c>
      <x:c r="B187" s="12" t="n">
        <x:v>46247</x:v>
      </x:c>
      <x:c r="C187" t="str">
        <x:v>Synthetic Yad2-like Listing</x:v>
      </x:c>
      <x:c r="D187" t="str">
        <x:v>https://example.com/listings/SYN-0186</x:v>
      </x:c>
      <x:c r="E187" t="str">
        <x:v>Second Hand</x:v>
      </x:c>
      <x:c r="F187" t="str"/>
      <x:c r="G187" t="str"/>
      <x:c r="H187" t="str">
        <x:v>Helsinki 180, Tel Aviv</x:v>
      </x:c>
      <x:c r="I187" t="str">
        <x:v>Tel Aviv</x:v>
      </x:c>
      <x:c r="J187" t="str">
        <x:v>Kikar HaMedina / New North</x:v>
      </x:c>
      <x:c r="K187" s="14" t="n">
        <x:v>0.05</x:v>
      </x:c>
      <x:c r="L187" t="str">
        <x:v>Apartment</x:v>
      </x:c>
      <x:c r="M187" t="n">
        <x:v>3</x:v>
      </x:c>
      <x:c r="N187" s="16" t="n">
        <x:v>70.9</x:v>
      </x:c>
      <x:c r="O187" t="n">
        <x:v>6</x:v>
      </x:c>
      <x:c r="P187" t="n">
        <x:v>14</x:v>
      </x:c>
      <x:c r="Q187" s="18" t="n">
        <x:v>5070000</x:v>
      </x:c>
      <x:c r="R187" s="18" t="n">
        <x:f>IFERROR(Q187/N187,"")</x:f>
        <x:v>71509.16784203102</x:v>
      </x:c>
      <x:c r="S187" t="n">
        <x:v>2008</x:v>
      </x:c>
      <x:c r="T187" t="n">
        <x:v>18</x:v>
      </x:c>
      <x:c r="U187" t="str">
        <x:v>Good</x:v>
      </x:c>
      <x:c r="V187" s="16" t="n">
        <x:v>8.3</x:v>
      </x:c>
      <x:c r="W187" t="str">
        <x:v>South</x:v>
      </x:c>
      <x:c r="X187" t="n">
        <x:v>1</x:v>
      </x:c>
      <x:c r="Y187" s="16" t="n">
        <x:v>0</x:v>
      </x:c>
      <x:c r="Z187" s="1" t="b">
        <x:v>1</x:v>
      </x:c>
      <x:c r="AA187" t="str">
        <x:v>South, South</x:v>
      </x:c>
      <x:c r="AB187" s="16" t="n">
        <x:v>0</x:v>
      </x:c>
      <x:c r="AC187" s="16" t="n">
        <x:v>0</x:v>
      </x:c>
      <x:c r="AD187" s="1" t="b">
        <x:v>0</x:v>
      </x:c>
    </x:row>
    <x:row r="188">
      <x:c r="A188" t="str">
        <x:v>SYN-0187</x:v>
      </x:c>
      <x:c r="B188" s="12" t="n">
        <x:v>46204</x:v>
      </x:c>
      <x:c r="C188" t="str">
        <x:v>Synthetic New-Project Listing</x:v>
      </x:c>
      <x:c r="D188" t="str">
        <x:v>https://example.com/listings/SYN-0187</x:v>
      </x:c>
      <x:c r="E188" t="str">
        <x:v>New Project</x:v>
      </x:c>
      <x:c r="F188" t="str">
        <x:v>Helsinki Gardens</x:v>
      </x:c>
      <x:c r="G188" t="str">
        <x:v>Sample Development C</x:v>
      </x:c>
      <x:c r="H188" t="str">
        <x:v>Pinkas 166, Tel Aviv</x:v>
      </x:c>
      <x:c r="I188" t="str">
        <x:v>Tel Aviv</x:v>
      </x:c>
      <x:c r="J188" t="str">
        <x:v>Kikar HaMedina / New North</x:v>
      </x:c>
      <x:c r="K188" s="14" t="n">
        <x:v>0.4</x:v>
      </x:c>
      <x:c r="L188" t="str">
        <x:v>Apartment</x:v>
      </x:c>
      <x:c r="M188" t="n">
        <x:v>2</x:v>
      </x:c>
      <x:c r="N188" s="16" t="n">
        <x:v>56.7</x:v>
      </x:c>
      <x:c r="O188" t="n">
        <x:v>7</x:v>
      </x:c>
      <x:c r="P188" t="n">
        <x:v>14</x:v>
      </x:c>
      <x:c r="Q188" s="18" t="n">
        <x:v>4830000</x:v>
      </x:c>
      <x:c r="R188" s="18" t="n">
        <x:f>IFERROR(Q188/N188,"")</x:f>
        <x:v>85185.18518518518</x:v>
      </x:c>
      <x:c r="S188" t="n">
        <x:v>2027</x:v>
      </x:c>
      <x:c r="T188" t="n">
        <x:v>0</x:v>
      </x:c>
      <x:c r="U188" t="str">
        <x:v>New</x:v>
      </x:c>
      <x:c r="V188" s="16" t="n">
        <x:v>15.6</x:v>
      </x:c>
      <x:c r="W188" t="str">
        <x:v>West</x:v>
      </x:c>
      <x:c r="X188" t="n">
        <x:v>1</x:v>
      </x:c>
      <x:c r="Y188" s="16" t="n">
        <x:v>8.6</x:v>
      </x:c>
      <x:c r="Z188" s="1" t="b">
        <x:v>1</x:v>
      </x:c>
      <x:c r="AA188" t="str">
        <x:v>West, North</x:v>
      </x:c>
      <x:c r="AB188" s="16" t="n">
        <x:v>0</x:v>
      </x:c>
      <x:c r="AC188" s="16" t="n">
        <x:v>0</x:v>
      </x:c>
      <x:c r="AD188" s="1" t="b">
        <x:v>0</x:v>
      </x:c>
    </x:row>
    <x:row r="189">
      <x:c r="A189" t="str">
        <x:v>SYN-0188</x:v>
      </x:c>
      <x:c r="B189" s="12" t="n">
        <x:v>46207</x:v>
      </x:c>
      <x:c r="C189" t="str">
        <x:v>Synthetic Yad2-like Listing</x:v>
      </x:c>
      <x:c r="D189" t="str">
        <x:v>https://example.com/listings/SYN-0188</x:v>
      </x:c>
      <x:c r="E189" t="str">
        <x:v>Second Hand</x:v>
      </x:c>
      <x:c r="F189" t="str"/>
      <x:c r="G189" t="str"/>
      <x:c r="H189" t="str">
        <x:v>Jabotinsky 158, Tel Aviv</x:v>
      </x:c>
      <x:c r="I189" t="str">
        <x:v>Tel Aviv</x:v>
      </x:c>
      <x:c r="J189" t="str">
        <x:v>Kikar HaMedina / New North</x:v>
      </x:c>
      <x:c r="K189" s="14" t="n">
        <x:v>0.71</x:v>
      </x:c>
      <x:c r="L189" t="str">
        <x:v>Apartment</x:v>
      </x:c>
      <x:c r="M189" t="n">
        <x:v>3</x:v>
      </x:c>
      <x:c r="N189" s="16" t="n">
        <x:v>77.6</x:v>
      </x:c>
      <x:c r="O189" t="n">
        <x:v>1</x:v>
      </x:c>
      <x:c r="P189" t="n">
        <x:v>8</x:v>
      </x:c>
      <x:c r="Q189" s="18" t="n">
        <x:v>5080000</x:v>
      </x:c>
      <x:c r="R189" s="18" t="n">
        <x:f>IFERROR(Q189/N189,"")</x:f>
        <x:v>65463.9175257732</x:v>
      </x:c>
      <x:c r="S189" t="n">
        <x:v>1969</x:v>
      </x:c>
      <x:c r="T189" t="n">
        <x:v>57</x:v>
      </x:c>
      <x:c r="U189" t="str">
        <x:v>Renovated</x:v>
      </x:c>
      <x:c r="V189" s="16" t="n">
        <x:v>0</x:v>
      </x:c>
      <x:c r="W189" t="str"/>
      <x:c r="X189" t="n">
        <x:v>0</x:v>
      </x:c>
      <x:c r="Y189" s="16" t="n">
        <x:v>9.3</x:v>
      </x:c>
      <x:c r="Z189" s="1" t="b">
        <x:v>1</x:v>
      </x:c>
      <x:c r="AA189" t="str">
        <x:v>South</x:v>
      </x:c>
      <x:c r="AB189" s="16" t="n">
        <x:v>0</x:v>
      </x:c>
      <x:c r="AC189" s="16" t="n">
        <x:v>0</x:v>
      </x:c>
      <x:c r="AD189" s="1" t="b">
        <x:v>0</x:v>
      </x:c>
    </x:row>
    <x:row r="190">
      <x:c r="A190" t="str">
        <x:v>SYN-0189</x:v>
      </x:c>
      <x:c r="B190" s="12" t="n">
        <x:v>46241</x:v>
      </x:c>
      <x:c r="C190" t="str">
        <x:v>Synthetic Yad2-like Listing</x:v>
      </x:c>
      <x:c r="D190" t="str">
        <x:v>https://example.com/listings/SYN-0189</x:v>
      </x:c>
      <x:c r="E190" t="str">
        <x:v>Second Hand</x:v>
      </x:c>
      <x:c r="F190" t="str"/>
      <x:c r="G190" t="str"/>
      <x:c r="H190" t="str">
        <x:v>Weizmann 50, Tel Aviv</x:v>
      </x:c>
      <x:c r="I190" t="str">
        <x:v>Tel Aviv</x:v>
      </x:c>
      <x:c r="J190" t="str">
        <x:v>Kikar HaMedina / New North</x:v>
      </x:c>
      <x:c r="K190" s="14" t="n">
        <x:v>0.24</x:v>
      </x:c>
      <x:c r="L190" t="str">
        <x:v>Apartment</x:v>
      </x:c>
      <x:c r="M190" t="n">
        <x:v>5</x:v>
      </x:c>
      <x:c r="N190" s="16" t="n">
        <x:v>137.9</x:v>
      </x:c>
      <x:c r="O190" t="n">
        <x:v>7</x:v>
      </x:c>
      <x:c r="P190" t="n">
        <x:v>18</x:v>
      </x:c>
      <x:c r="Q190" s="18" t="n">
        <x:v>9330000</x:v>
      </x:c>
      <x:c r="R190" s="18" t="n">
        <x:f>IFERROR(Q190/N190,"")</x:f>
        <x:v>67657.72298767223</x:v>
      </x:c>
      <x:c r="S190" t="n">
        <x:v>2002</x:v>
      </x:c>
      <x:c r="T190" t="n">
        <x:v>24</x:v>
      </x:c>
      <x:c r="U190" t="str">
        <x:v>Good</x:v>
      </x:c>
      <x:c r="V190" s="16" t="n">
        <x:v>9.6</x:v>
      </x:c>
      <x:c r="W190" t="str">
        <x:v>South</x:v>
      </x:c>
      <x:c r="X190" t="n">
        <x:v>1</x:v>
      </x:c>
      <x:c r="Y190" s="16" t="n">
        <x:v>0</x:v>
      </x:c>
      <x:c r="Z190" s="1" t="b">
        <x:v>1</x:v>
      </x:c>
      <x:c r="AA190" t="str">
        <x:v>South</x:v>
      </x:c>
      <x:c r="AB190" s="16" t="n">
        <x:v>0</x:v>
      </x:c>
      <x:c r="AC190" s="16" t="n">
        <x:v>0</x:v>
      </x:c>
      <x:c r="AD190" s="1" t="b">
        <x:v>0</x:v>
      </x:c>
    </x:row>
    <x:row r="191">
      <x:c r="A191" t="str">
        <x:v>SYN-0190</x:v>
      </x:c>
      <x:c r="B191" s="12" t="n">
        <x:v>46221</x:v>
      </x:c>
      <x:c r="C191" t="str">
        <x:v>Synthetic New-Project Listing</x:v>
      </x:c>
      <x:c r="D191" t="str">
        <x:v>https://example.com/listings/SYN-0190</x:v>
      </x:c>
      <x:c r="E191" t="str">
        <x:v>New Project</x:v>
      </x:c>
      <x:c r="F191" t="str">
        <x:v>North TLV Living</x:v>
      </x:c>
      <x:c r="G191" t="str">
        <x:v>Sample Development D</x:v>
      </x:c>
      <x:c r="H191" t="str">
        <x:v>Lissin 115, Tel Aviv</x:v>
      </x:c>
      <x:c r="I191" t="str">
        <x:v>Tel Aviv</x:v>
      </x:c>
      <x:c r="J191" t="str">
        <x:v>Kikar HaMedina / New North</x:v>
      </x:c>
      <x:c r="K191" s="14" t="n">
        <x:v>0.68</x:v>
      </x:c>
      <x:c r="L191" t="str">
        <x:v>Duplex</x:v>
      </x:c>
      <x:c r="M191" t="n">
        <x:v>4</x:v>
      </x:c>
      <x:c r="N191" s="16" t="n">
        <x:v>104.2</x:v>
      </x:c>
      <x:c r="O191" t="n">
        <x:v>6</x:v>
      </x:c>
      <x:c r="P191" t="n">
        <x:v>9</x:v>
      </x:c>
      <x:c r="Q191" s="18" t="n">
        <x:v>8660000</x:v>
      </x:c>
      <x:c r="R191" s="18" t="n">
        <x:f>IFERROR(Q191/N191,"")</x:f>
        <x:v>83109.40499040307</x:v>
      </x:c>
      <x:c r="S191" t="n">
        <x:v>2026</x:v>
      </x:c>
      <x:c r="T191" t="n">
        <x:v>0</x:v>
      </x:c>
      <x:c r="U191" t="str">
        <x:v>New</x:v>
      </x:c>
      <x:c r="V191" s="16" t="n">
        <x:v>11.5</x:v>
      </x:c>
      <x:c r="W191" t="str">
        <x:v>South-East</x:v>
      </x:c>
      <x:c r="X191" t="n">
        <x:v>1</x:v>
      </x:c>
      <x:c r="Y191" s="16" t="n">
        <x:v>7.8</x:v>
      </x:c>
      <x:c r="Z191" s="1" t="b">
        <x:v>1</x:v>
      </x:c>
      <x:c r="AA191" t="str">
        <x:v>South-East, West</x:v>
      </x:c>
      <x:c r="AB191" s="16" t="n">
        <x:v>0</x:v>
      </x:c>
      <x:c r="AC191" s="16" t="n">
        <x:v>0</x:v>
      </x:c>
      <x:c r="AD191" s="1" t="b">
        <x:v>0</x:v>
      </x:c>
    </x:row>
    <x:row r="192">
      <x:c r="A192" t="str">
        <x:v>SYN-0191</x:v>
      </x:c>
      <x:c r="B192" s="12" t="n">
        <x:v>46227</x:v>
      </x:c>
      <x:c r="C192" t="str">
        <x:v>Synthetic Yad2-like Listing</x:v>
      </x:c>
      <x:c r="D192" t="str">
        <x:v>https://example.com/listings/SYN-0191</x:v>
      </x:c>
      <x:c r="E192" t="str">
        <x:v>Second Hand</x:v>
      </x:c>
      <x:c r="F192" t="str"/>
      <x:c r="G192" t="str"/>
      <x:c r="H192" t="str">
        <x:v>Epstein 67, Tel Aviv</x:v>
      </x:c>
      <x:c r="I192" t="str">
        <x:v>Tel Aviv</x:v>
      </x:c>
      <x:c r="J192" t="str">
        <x:v>Kikar HaMedina / New North</x:v>
      </x:c>
      <x:c r="K192" s="14" t="n">
        <x:v>0.86</x:v>
      </x:c>
      <x:c r="L192" t="str">
        <x:v>Apartment</x:v>
      </x:c>
      <x:c r="M192" t="n">
        <x:v>2</x:v>
      </x:c>
      <x:c r="N192" s="16" t="n">
        <x:v>53.5</x:v>
      </x:c>
      <x:c r="O192" t="n">
        <x:v>4</x:v>
      </x:c>
      <x:c r="P192" t="n">
        <x:v>16</x:v>
      </x:c>
      <x:c r="Q192" s="18" t="n">
        <x:v>3620000</x:v>
      </x:c>
      <x:c r="R192" s="18" t="n">
        <x:f>IFERROR(Q192/N192,"")</x:f>
        <x:v>67663.55140186916</x:v>
      </x:c>
      <x:c r="S192" t="n">
        <x:v>1997</x:v>
      </x:c>
      <x:c r="T192" t="n">
        <x:v>29</x:v>
      </x:c>
      <x:c r="U192" t="str">
        <x:v>Good</x:v>
      </x:c>
      <x:c r="V192" s="16" t="n">
        <x:v>9.2</x:v>
      </x:c>
      <x:c r="W192" t="str">
        <x:v>North</x:v>
      </x:c>
      <x:c r="X192" t="n">
        <x:v>0</x:v>
      </x:c>
      <x:c r="Y192" s="16" t="n">
        <x:v>0</x:v>
      </x:c>
      <x:c r="Z192" s="1" t="b">
        <x:v>1</x:v>
      </x:c>
      <x:c r="AA192" t="str">
        <x:v>North</x:v>
      </x:c>
      <x:c r="AB192" s="16" t="n">
        <x:v>0</x:v>
      </x:c>
      <x:c r="AC192" s="16" t="n">
        <x:v>0</x:v>
      </x:c>
      <x:c r="AD192" s="1" t="b">
        <x:v>0</x:v>
      </x:c>
    </x:row>
    <x:row r="193">
      <x:c r="A193" t="str">
        <x:v>SYN-0192</x:v>
      </x:c>
      <x:c r="B193" s="12" t="n">
        <x:v>46251</x:v>
      </x:c>
      <x:c r="C193" t="str">
        <x:v>Synthetic New-Project Listing</x:v>
      </x:c>
      <x:c r="D193" t="str">
        <x:v>https://example.com/listings/SYN-0192</x:v>
      </x:c>
      <x:c r="E193" t="str">
        <x:v>New Project</x:v>
      </x:c>
      <x:c r="F193" t="str">
        <x:v>Weizmann Urban</x:v>
      </x:c>
      <x:c r="G193" t="str">
        <x:v>Sample Development B</x:v>
      </x:c>
      <x:c r="H193" t="str">
        <x:v>Klay 36, Tel Aviv</x:v>
      </x:c>
      <x:c r="I193" t="str">
        <x:v>Tel Aviv</x:v>
      </x:c>
      <x:c r="J193" t="str">
        <x:v>Kikar HaMedina / New North</x:v>
      </x:c>
      <x:c r="K193" s="14" t="n">
        <x:v>0.62</x:v>
      </x:c>
      <x:c r="L193" t="str">
        <x:v>Apartment</x:v>
      </x:c>
      <x:c r="M193" t="n">
        <x:v>5</x:v>
      </x:c>
      <x:c r="N193" s="16" t="n">
        <x:v>127.3</x:v>
      </x:c>
      <x:c r="O193" t="n">
        <x:v>4</x:v>
      </x:c>
      <x:c r="P193" t="n">
        <x:v>7</x:v>
      </x:c>
      <x:c r="Q193" s="18" t="n">
        <x:v>10150000</x:v>
      </x:c>
      <x:c r="R193" s="18" t="n">
        <x:f>IFERROR(Q193/N193,"")</x:f>
        <x:v>79732.91437549097</x:v>
      </x:c>
      <x:c r="S193" t="n">
        <x:v>2027</x:v>
      </x:c>
      <x:c r="T193" t="n">
        <x:v>0</x:v>
      </x:c>
      <x:c r="U193" t="str">
        <x:v>New</x:v>
      </x:c>
      <x:c r="V193" s="16" t="n">
        <x:v>17.5</x:v>
      </x:c>
      <x:c r="W193" t="str">
        <x:v>North</x:v>
      </x:c>
      <x:c r="X193" t="n">
        <x:v>1</x:v>
      </x:c>
      <x:c r="Y193" s="16" t="n">
        <x:v>0</x:v>
      </x:c>
      <x:c r="Z193" s="1" t="b">
        <x:v>1</x:v>
      </x:c>
      <x:c r="AA193" t="str">
        <x:v>North</x:v>
      </x:c>
      <x:c r="AB193" s="16" t="n">
        <x:v>0</x:v>
      </x:c>
      <x:c r="AC193" s="16" t="n">
        <x:v>0</x:v>
      </x:c>
      <x:c r="AD193" s="1" t="b">
        <x:v>0</x:v>
      </x:c>
    </x:row>
    <x:row r="194">
      <x:c r="A194" t="str">
        <x:v>SYN-0193</x:v>
      </x:c>
      <x:c r="B194" s="12" t="n">
        <x:v>46215</x:v>
      </x:c>
      <x:c r="C194" t="str">
        <x:v>Synthetic Yad2-like Listing</x:v>
      </x:c>
      <x:c r="D194" t="str">
        <x:v>https://example.com/listings/SYN-0193</x:v>
      </x:c>
      <x:c r="E194" t="str">
        <x:v>Second Hand</x:v>
      </x:c>
      <x:c r="F194" t="str"/>
      <x:c r="G194" t="str"/>
      <x:c r="H194" t="str">
        <x:v>Mosenzon 163, Tel Aviv</x:v>
      </x:c>
      <x:c r="I194" t="str">
        <x:v>Tel Aviv</x:v>
      </x:c>
      <x:c r="J194" t="str">
        <x:v>Kikar HaMedina / New North</x:v>
      </x:c>
      <x:c r="K194" s="14" t="n">
        <x:v>0.97</x:v>
      </x:c>
      <x:c r="L194" t="str">
        <x:v>Apartment</x:v>
      </x:c>
      <x:c r="M194" t="n">
        <x:v>5</x:v>
      </x:c>
      <x:c r="N194" s="16" t="n">
        <x:v>113.1</x:v>
      </x:c>
      <x:c r="O194" t="n">
        <x:v>12</x:v>
      </x:c>
      <x:c r="P194" t="n">
        <x:v>16</x:v>
      </x:c>
      <x:c r="Q194" s="18" t="n">
        <x:v>7180000</x:v>
      </x:c>
      <x:c r="R194" s="18" t="n">
        <x:f>IFERROR(Q194/N194,"")</x:f>
        <x:v>63483.64279398762</x:v>
      </x:c>
      <x:c r="S194" t="n">
        <x:v>1962</x:v>
      </x:c>
      <x:c r="T194" t="n">
        <x:v>64</x:v>
      </x:c>
      <x:c r="U194" t="str">
        <x:v>Needs Renovation</x:v>
      </x:c>
      <x:c r="V194" s="16" t="n">
        <x:v>13.6</x:v>
      </x:c>
      <x:c r="W194" t="str">
        <x:v>West</x:v>
      </x:c>
      <x:c r="X194" t="n">
        <x:v>1</x:v>
      </x:c>
      <x:c r="Y194" s="16" t="n">
        <x:v>9.4</x:v>
      </x:c>
      <x:c r="Z194" s="1" t="b">
        <x:v>0</x:v>
      </x:c>
      <x:c r="AA194" t="str">
        <x:v>West</x:v>
      </x:c>
      <x:c r="AB194" s="16" t="n">
        <x:v>0</x:v>
      </x:c>
      <x:c r="AC194" s="16" t="n">
        <x:v>0</x:v>
      </x:c>
      <x:c r="AD194" s="1" t="b">
        <x:v>0</x:v>
      </x:c>
    </x:row>
    <x:row r="195">
      <x:c r="A195" t="str">
        <x:v>SYN-0194</x:v>
      </x:c>
      <x:c r="B195" s="12" t="n">
        <x:v>46221</x:v>
      </x:c>
      <x:c r="C195" t="str">
        <x:v>Synthetic New-Project Listing</x:v>
      </x:c>
      <x:c r="D195" t="str">
        <x:v>https://example.com/listings/SYN-0194</x:v>
      </x:c>
      <x:c r="E195" t="str">
        <x:v>New Project</x:v>
      </x:c>
      <x:c r="F195" t="str">
        <x:v>North TLV Living</x:v>
      </x:c>
      <x:c r="G195" t="str">
        <x:v>Sample Development D</x:v>
      </x:c>
      <x:c r="H195" t="str">
        <x:v>Lissin 155, Tel Aviv</x:v>
      </x:c>
      <x:c r="I195" t="str">
        <x:v>Tel Aviv</x:v>
      </x:c>
      <x:c r="J195" t="str">
        <x:v>Kikar HaMedina / New North</x:v>
      </x:c>
      <x:c r="K195" s="14" t="n">
        <x:v>0.78</x:v>
      </x:c>
      <x:c r="L195" t="str">
        <x:v>Apartment</x:v>
      </x:c>
      <x:c r="M195" t="n">
        <x:v>3</x:v>
      </x:c>
      <x:c r="N195" s="16" t="n">
        <x:v>78.5</x:v>
      </x:c>
      <x:c r="O195" t="n">
        <x:v>1</x:v>
      </x:c>
      <x:c r="P195" t="n">
        <x:v>12</x:v>
      </x:c>
      <x:c r="Q195" s="18" t="n">
        <x:v>5830000</x:v>
      </x:c>
      <x:c r="R195" s="18" t="n">
        <x:f>IFERROR(Q195/N195,"")</x:f>
        <x:v>74267.51592356688</x:v>
      </x:c>
      <x:c r="S195" t="n">
        <x:v>2026</x:v>
      </x:c>
      <x:c r="T195" t="n">
        <x:v>0</x:v>
      </x:c>
      <x:c r="U195" t="str">
        <x:v>New</x:v>
      </x:c>
      <x:c r="V195" s="16" t="n">
        <x:v>0</x:v>
      </x:c>
      <x:c r="W195" t="str"/>
      <x:c r="X195" t="n">
        <x:v>1</x:v>
      </x:c>
      <x:c r="Y195" s="16" t="n">
        <x:v>8.7</x:v>
      </x:c>
      <x:c r="Z195" s="1" t="b">
        <x:v>1</x:v>
      </x:c>
      <x:c r="AA195" t="str">
        <x:v>North</x:v>
      </x:c>
      <x:c r="AB195" s="16" t="n">
        <x:v>0</x:v>
      </x:c>
      <x:c r="AC195" s="16" t="n">
        <x:v>0</x:v>
      </x:c>
      <x:c r="AD195" s="1" t="b">
        <x:v>0</x:v>
      </x:c>
    </x:row>
    <x:row r="196">
      <x:c r="A196" t="str">
        <x:v>SYN-0195</x:v>
      </x:c>
      <x:c r="B196" s="12" t="n">
        <x:v>46220</x:v>
      </x:c>
      <x:c r="C196" t="str">
        <x:v>Synthetic New-Project Listing</x:v>
      </x:c>
      <x:c r="D196" t="str">
        <x:v>https://example.com/listings/SYN-0195</x:v>
      </x:c>
      <x:c r="E196" t="str">
        <x:v>New Project</x:v>
      </x:c>
      <x:c r="F196" t="str">
        <x:v>North TLV Living</x:v>
      </x:c>
      <x:c r="G196" t="str">
        <x:v>Sample Development D</x:v>
      </x:c>
      <x:c r="H196" t="str">
        <x:v>Helsinki 152, Tel Aviv</x:v>
      </x:c>
      <x:c r="I196" t="str">
        <x:v>Tel Aviv</x:v>
      </x:c>
      <x:c r="J196" t="str">
        <x:v>Kikar HaMedina / New North</x:v>
      </x:c>
      <x:c r="K196" s="14" t="n">
        <x:v>0.1</x:v>
      </x:c>
      <x:c r="L196" t="str">
        <x:v>Apartment</x:v>
      </x:c>
      <x:c r="M196" t="n">
        <x:v>3</x:v>
      </x:c>
      <x:c r="N196" s="16" t="n">
        <x:v>73.3</x:v>
      </x:c>
      <x:c r="O196" t="n">
        <x:v>11</x:v>
      </x:c>
      <x:c r="P196" t="n">
        <x:v>18</x:v>
      </x:c>
      <x:c r="Q196" s="18" t="n">
        <x:v>5960000</x:v>
      </x:c>
      <x:c r="R196" s="18" t="n">
        <x:f>IFERROR(Q196/N196,"")</x:f>
        <x:v>81309.68622100956</x:v>
      </x:c>
      <x:c r="S196" t="n">
        <x:v>2025</x:v>
      </x:c>
      <x:c r="T196" t="n">
        <x:v>1</x:v>
      </x:c>
      <x:c r="U196" t="str">
        <x:v>New</x:v>
      </x:c>
      <x:c r="V196" s="16" t="n">
        <x:v>21</x:v>
      </x:c>
      <x:c r="W196" t="str">
        <x:v>South</x:v>
      </x:c>
      <x:c r="X196" t="n">
        <x:v>1</x:v>
      </x:c>
      <x:c r="Y196" s="16" t="n">
        <x:v>4.5</x:v>
      </x:c>
      <x:c r="Z196" s="1" t="b">
        <x:v>1</x:v>
      </x:c>
      <x:c r="AA196" t="str">
        <x:v>South, East</x:v>
      </x:c>
      <x:c r="AB196" s="16" t="n">
        <x:v>0</x:v>
      </x:c>
      <x:c r="AC196" s="16" t="n">
        <x:v>0</x:v>
      </x:c>
      <x:c r="AD196" s="1" t="b">
        <x:v>0</x:v>
      </x:c>
    </x:row>
    <x:row r="197">
      <x:c r="A197" t="str">
        <x:v>SYN-0196</x:v>
      </x:c>
      <x:c r="B197" s="12" t="n">
        <x:v>46236</x:v>
      </x:c>
      <x:c r="C197" t="str">
        <x:v>Synthetic Yad2-like Listing</x:v>
      </x:c>
      <x:c r="D197" t="str">
        <x:v>https://example.com/listings/SYN-0196</x:v>
      </x:c>
      <x:c r="E197" t="str">
        <x:v>Second Hand</x:v>
      </x:c>
      <x:c r="F197" t="str"/>
      <x:c r="G197" t="str"/>
      <x:c r="H197" t="str">
        <x:v>Biltmore 154, Tel Aviv</x:v>
      </x:c>
      <x:c r="I197" t="str">
        <x:v>Tel Aviv</x:v>
      </x:c>
      <x:c r="J197" t="str">
        <x:v>Kikar HaMedina / New North</x:v>
      </x:c>
      <x:c r="K197" s="14" t="n">
        <x:v>0.94</x:v>
      </x:c>
      <x:c r="L197" t="str">
        <x:v>Apartment</x:v>
      </x:c>
      <x:c r="M197" t="n">
        <x:v>4</x:v>
      </x:c>
      <x:c r="N197" s="16" t="n">
        <x:v>96.1</x:v>
      </x:c>
      <x:c r="O197" t="n">
        <x:v>9</x:v>
      </x:c>
      <x:c r="P197" t="n">
        <x:v>10</x:v>
      </x:c>
      <x:c r="Q197" s="18" t="n">
        <x:v>6500000</x:v>
      </x:c>
      <x:c r="R197" s="18" t="n">
        <x:f>IFERROR(Q197/N197,"")</x:f>
        <x:v>67637.8772112383</x:v>
      </x:c>
      <x:c r="S197" t="n">
        <x:v>1990</x:v>
      </x:c>
      <x:c r="T197" t="n">
        <x:v>36</x:v>
      </x:c>
      <x:c r="U197" t="str">
        <x:v>Renovated</x:v>
      </x:c>
      <x:c r="V197" s="16" t="n">
        <x:v>0</x:v>
      </x:c>
      <x:c r="W197" t="str"/>
      <x:c r="X197" t="n">
        <x:v>0</x:v>
      </x:c>
      <x:c r="Y197" s="16" t="n">
        <x:v>7.2</x:v>
      </x:c>
      <x:c r="Z197" s="1" t="b">
        <x:v>1</x:v>
      </x:c>
      <x:c r="AA197" t="str">
        <x:v>West</x:v>
      </x:c>
      <x:c r="AB197" s="16" t="n">
        <x:v>0</x:v>
      </x:c>
      <x:c r="AC197" s="16" t="n">
        <x:v>0</x:v>
      </x:c>
      <x:c r="AD197" s="1" t="b">
        <x:v>1</x:v>
      </x:c>
    </x:row>
    <x:row r="198">
      <x:c r="A198" t="str">
        <x:v>SYN-0197</x:v>
      </x:c>
      <x:c r="B198" s="12" t="n">
        <x:v>46246</x:v>
      </x:c>
      <x:c r="C198" t="str">
        <x:v>Synthetic New-Project Listing</x:v>
      </x:c>
      <x:c r="D198" t="str">
        <x:v>https://example.com/listings/SYN-0197</x:v>
      </x:c>
      <x:c r="E198" t="str">
        <x:v>New Project</x:v>
      </x:c>
      <x:c r="F198" t="str">
        <x:v>North TLV Living</x:v>
      </x:c>
      <x:c r="G198" t="str">
        <x:v>Sample Development D</x:v>
      </x:c>
      <x:c r="H198" t="str">
        <x:v>Pinkas 158, Tel Aviv</x:v>
      </x:c>
      <x:c r="I198" t="str">
        <x:v>Tel Aviv</x:v>
      </x:c>
      <x:c r="J198" t="str">
        <x:v>Kikar HaMedina / New North</x:v>
      </x:c>
      <x:c r="K198" s="14" t="n">
        <x:v>0.41</x:v>
      </x:c>
      <x:c r="L198" t="str">
        <x:v>Apartment</x:v>
      </x:c>
      <x:c r="M198" t="n">
        <x:v>4</x:v>
      </x:c>
      <x:c r="N198" s="16" t="n">
        <x:v>94.9</x:v>
      </x:c>
      <x:c r="O198" t="n">
        <x:v>7</x:v>
      </x:c>
      <x:c r="P198" t="n">
        <x:v>17</x:v>
      </x:c>
      <x:c r="Q198" s="18" t="n">
        <x:v>7630000</x:v>
      </x:c>
      <x:c r="R198" s="18" t="n">
        <x:f>IFERROR(Q198/N198,"")</x:f>
        <x:v>80400.4214963119</x:v>
      </x:c>
      <x:c r="S198" t="n">
        <x:v>2027</x:v>
      </x:c>
      <x:c r="T198" t="n">
        <x:v>0</x:v>
      </x:c>
      <x:c r="U198" t="str">
        <x:v>New</x:v>
      </x:c>
      <x:c r="V198" s="16" t="n">
        <x:v>14.2</x:v>
      </x:c>
      <x:c r="W198" t="str">
        <x:v>South</x:v>
      </x:c>
      <x:c r="X198" t="n">
        <x:v>1</x:v>
      </x:c>
      <x:c r="Y198" s="16" t="n">
        <x:v>9.4</x:v>
      </x:c>
      <x:c r="Z198" s="1" t="b">
        <x:v>1</x:v>
      </x:c>
      <x:c r="AA198" t="str">
        <x:v>South, South</x:v>
      </x:c>
      <x:c r="AB198" s="16" t="n">
        <x:v>0</x:v>
      </x:c>
      <x:c r="AC198" s="16" t="n">
        <x:v>0</x:v>
      </x:c>
      <x:c r="AD198" s="1" t="b">
        <x:v>0</x:v>
      </x:c>
    </x:row>
    <x:row r="199">
      <x:c r="A199" t="str">
        <x:v>SYN-0198</x:v>
      </x:c>
      <x:c r="B199" s="12" t="n">
        <x:v>46220</x:v>
      </x:c>
      <x:c r="C199" t="str">
        <x:v>Synthetic New-Project Listing</x:v>
      </x:c>
      <x:c r="D199" t="str">
        <x:v>https://example.com/listings/SYN-0198</x:v>
      </x:c>
      <x:c r="E199" t="str">
        <x:v>New Project</x:v>
      </x:c>
      <x:c r="F199" t="str">
        <x:v>North TLV Living</x:v>
      </x:c>
      <x:c r="G199" t="str">
        <x:v>Sample Development D</x:v>
      </x:c>
      <x:c r="H199" t="str">
        <x:v>Mosenzon 151, Tel Aviv</x:v>
      </x:c>
      <x:c r="I199" t="str">
        <x:v>Tel Aviv</x:v>
      </x:c>
      <x:c r="J199" t="str">
        <x:v>Kikar HaMedina / New North</x:v>
      </x:c>
      <x:c r="K199" s="14" t="n">
        <x:v>0.77</x:v>
      </x:c>
      <x:c r="L199" t="str">
        <x:v>Apartment</x:v>
      </x:c>
      <x:c r="M199" t="n">
        <x:v>4</x:v>
      </x:c>
      <x:c r="N199" s="16" t="n">
        <x:v>104.6</x:v>
      </x:c>
      <x:c r="O199" t="n">
        <x:v>12</x:v>
      </x:c>
      <x:c r="P199" t="n">
        <x:v>18</x:v>
      </x:c>
      <x:c r="Q199" s="18" t="n">
        <x:v>8590000</x:v>
      </x:c>
      <x:c r="R199" s="18" t="n">
        <x:f>IFERROR(Q199/N199,"")</x:f>
        <x:v>82122.37093690249</x:v>
      </x:c>
      <x:c r="S199" t="n">
        <x:v>2026</x:v>
      </x:c>
      <x:c r="T199" t="n">
        <x:v>0</x:v>
      </x:c>
      <x:c r="U199" t="str">
        <x:v>New</x:v>
      </x:c>
      <x:c r="V199" s="16" t="n">
        <x:v>13.9</x:v>
      </x:c>
      <x:c r="W199" t="str">
        <x:v>North</x:v>
      </x:c>
      <x:c r="X199" t="n">
        <x:v>1</x:v>
      </x:c>
      <x:c r="Y199" s="16" t="n">
        <x:v>9.6</x:v>
      </x:c>
      <x:c r="Z199" s="1" t="b">
        <x:v>1</x:v>
      </x:c>
      <x:c r="AA199" t="str">
        <x:v>North, East</x:v>
      </x:c>
      <x:c r="AB199" s="16" t="n">
        <x:v>0</x:v>
      </x:c>
      <x:c r="AC199" s="16" t="n">
        <x:v>0</x:v>
      </x:c>
      <x:c r="AD199" s="1" t="b">
        <x:v>0</x:v>
      </x:c>
    </x:row>
    <x:row r="200">
      <x:c r="A200" t="str">
        <x:v>SYN-0199</x:v>
      </x:c>
      <x:c r="B200" s="12" t="n">
        <x:v>46243</x:v>
      </x:c>
      <x:c r="C200" t="str">
        <x:v>Synthetic Yad2-like Listing</x:v>
      </x:c>
      <x:c r="D200" t="str">
        <x:v>https://example.com/listings/SYN-0199</x:v>
      </x:c>
      <x:c r="E200" t="str">
        <x:v>Second Hand</x:v>
      </x:c>
      <x:c r="F200" t="str"/>
      <x:c r="G200" t="str"/>
      <x:c r="H200" t="str">
        <x:v>Biltmore 167, Tel Aviv</x:v>
      </x:c>
      <x:c r="I200" t="str">
        <x:v>Tel Aviv</x:v>
      </x:c>
      <x:c r="J200" t="str">
        <x:v>Kikar HaMedina / New North</x:v>
      </x:c>
      <x:c r="K200" s="14" t="n">
        <x:v>0.87</x:v>
      </x:c>
      <x:c r="L200" t="str">
        <x:v>Apartment</x:v>
      </x:c>
      <x:c r="M200" t="n">
        <x:v>3</x:v>
      </x:c>
      <x:c r="N200" s="16" t="n">
        <x:v>84.8</x:v>
      </x:c>
      <x:c r="O200" t="n">
        <x:v>4</x:v>
      </x:c>
      <x:c r="P200" t="n">
        <x:v>14</x:v>
      </x:c>
      <x:c r="Q200" s="18" t="n">
        <x:v>5930000</x:v>
      </x:c>
      <x:c r="R200" s="18" t="n">
        <x:f>IFERROR(Q200/N200,"")</x:f>
        <x:v>69929.24528301887</x:v>
      </x:c>
      <x:c r="S200" t="n">
        <x:v>2004</x:v>
      </x:c>
      <x:c r="T200" t="n">
        <x:v>22</x:v>
      </x:c>
      <x:c r="U200" t="str">
        <x:v>Good</x:v>
      </x:c>
      <x:c r="V200" s="16" t="n">
        <x:v>11</x:v>
      </x:c>
      <x:c r="W200" t="str">
        <x:v>North</x:v>
      </x:c>
      <x:c r="X200" t="n">
        <x:v>1</x:v>
      </x:c>
      <x:c r="Y200" s="16" t="n">
        <x:v>3.1</x:v>
      </x:c>
      <x:c r="Z200" s="1" t="b">
        <x:v>1</x:v>
      </x:c>
      <x:c r="AA200" t="str">
        <x:v>North, North</x:v>
      </x:c>
      <x:c r="AB200" s="16" t="n">
        <x:v>0</x:v>
      </x:c>
      <x:c r="AC200" s="16" t="n">
        <x:v>0</x:v>
      </x:c>
      <x:c r="AD200" s="1" t="b">
        <x:v>0</x:v>
      </x:c>
    </x:row>
    <x:row r="201">
      <x:c r="A201" t="str">
        <x:v>SYN-0200</x:v>
      </x:c>
      <x:c r="B201" s="12" t="n">
        <x:v>46236</x:v>
      </x:c>
      <x:c r="C201" t="str">
        <x:v>Synthetic New-Project Listing</x:v>
      </x:c>
      <x:c r="D201" t="str">
        <x:v>https://example.com/listings/SYN-0200</x:v>
      </x:c>
      <x:c r="E201" t="str">
        <x:v>New Project</x:v>
      </x:c>
      <x:c r="F201" t="str">
        <x:v>North TLV Living</x:v>
      </x:c>
      <x:c r="G201" t="str">
        <x:v>Sample Development D</x:v>
      </x:c>
      <x:c r="H201" t="str">
        <x:v>Pinkas 169, Tel Aviv</x:v>
      </x:c>
      <x:c r="I201" t="str">
        <x:v>Tel Aviv</x:v>
      </x:c>
      <x:c r="J201" t="str">
        <x:v>Kikar HaMedina / New North</x:v>
      </x:c>
      <x:c r="K201" s="14" t="n">
        <x:v>0.49</x:v>
      </x:c>
      <x:c r="L201" t="str">
        <x:v>Apartment</x:v>
      </x:c>
      <x:c r="M201" t="n">
        <x:v>4</x:v>
      </x:c>
      <x:c r="N201" s="16" t="n">
        <x:v>103.1</x:v>
      </x:c>
      <x:c r="O201" t="n">
        <x:v>6</x:v>
      </x:c>
      <x:c r="P201" t="n">
        <x:v>15</x:v>
      </x:c>
      <x:c r="Q201" s="18" t="n">
        <x:v>7870000</x:v>
      </x:c>
      <x:c r="R201" s="18" t="n">
        <x:f>IFERROR(Q201/N201,"")</x:f>
        <x:v>76333.65664403493</x:v>
      </x:c>
      <x:c r="S201" t="n">
        <x:v>2027</x:v>
      </x:c>
      <x:c r="T201" t="n">
        <x:v>0</x:v>
      </x:c>
      <x:c r="U201" t="str">
        <x:v>New</x:v>
      </x:c>
      <x:c r="V201" s="16" t="n">
        <x:v>13.9</x:v>
      </x:c>
      <x:c r="W201" t="str">
        <x:v>South-West</x:v>
      </x:c>
      <x:c r="X201" t="n">
        <x:v>1</x:v>
      </x:c>
      <x:c r="Y201" s="16" t="n">
        <x:v>5.4</x:v>
      </x:c>
      <x:c r="Z201" s="1" t="b">
        <x:v>1</x:v>
      </x:c>
      <x:c r="AA201" t="str">
        <x:v>South-West, East</x:v>
      </x:c>
      <x:c r="AB201" s="16" t="n">
        <x:v>0</x:v>
      </x:c>
      <x:c r="AC201" s="16" t="n">
        <x:v>0</x:v>
      </x:c>
      <x:c r="AD201" s="1" t="b">
        <x:v>0</x:v>
      </x:c>
    </x:row>
    <x:row r="202">
      <x:c r="A202" t="str">
        <x:v>SYN-0201</x:v>
      </x:c>
      <x:c r="B202" s="12" t="n">
        <x:v>46237</x:v>
      </x:c>
      <x:c r="C202" t="str">
        <x:v>Synthetic Yad2-like Listing</x:v>
      </x:c>
      <x:c r="D202" t="str">
        <x:v>https://example.com/listings/SYN-0201</x:v>
      </x:c>
      <x:c r="E202" t="str">
        <x:v>Second Hand</x:v>
      </x:c>
      <x:c r="F202" t="str"/>
      <x:c r="G202" t="str"/>
      <x:c r="H202" t="str">
        <x:v>Weizmann 156, Tel Aviv</x:v>
      </x:c>
      <x:c r="I202" t="str">
        <x:v>Tel Aviv</x:v>
      </x:c>
      <x:c r="J202" t="str">
        <x:v>Kikar HaMedina / New North</x:v>
      </x:c>
      <x:c r="K202" s="14" t="n">
        <x:v>0.24</x:v>
      </x:c>
      <x:c r="L202" t="str">
        <x:v>Apartment</x:v>
      </x:c>
      <x:c r="M202" t="n">
        <x:v>3</x:v>
      </x:c>
      <x:c r="N202" s="16" t="n">
        <x:v>77.7</x:v>
      </x:c>
      <x:c r="O202" t="n">
        <x:v>11</x:v>
      </x:c>
      <x:c r="P202" t="n">
        <x:v>17</x:v>
      </x:c>
      <x:c r="Q202" s="18" t="n">
        <x:v>5470000</x:v>
      </x:c>
      <x:c r="R202" s="18" t="n">
        <x:f>IFERROR(Q202/N202,"")</x:f>
        <x:v>70398.9703989704</x:v>
      </x:c>
      <x:c r="S202" t="n">
        <x:v>1998</x:v>
      </x:c>
      <x:c r="T202" t="n">
        <x:v>28</x:v>
      </x:c>
      <x:c r="U202" t="str">
        <x:v>Good</x:v>
      </x:c>
      <x:c r="V202" s="16" t="n">
        <x:v>23.4</x:v>
      </x:c>
      <x:c r="W202" t="str">
        <x:v>North</x:v>
      </x:c>
      <x:c r="X202" t="n">
        <x:v>0</x:v>
      </x:c>
      <x:c r="Y202" s="16" t="n">
        <x:v>0</x:v>
      </x:c>
      <x:c r="Z202" s="1" t="b">
        <x:v>1</x:v>
      </x:c>
      <x:c r="AA202" t="str">
        <x:v>North, West</x:v>
      </x:c>
      <x:c r="AB202" s="16" t="n">
        <x:v>0</x:v>
      </x:c>
      <x:c r="AC202" s="16" t="n">
        <x:v>0</x:v>
      </x:c>
      <x:c r="AD202" s="1" t="b">
        <x:v>0</x:v>
      </x:c>
    </x:row>
    <x:row r="203">
      <x:c r="A203" t="str">
        <x:v>SYN-0202</x:v>
      </x:c>
      <x:c r="B203" s="12" t="n">
        <x:v>46226</x:v>
      </x:c>
      <x:c r="C203" t="str">
        <x:v>Synthetic New-Project Listing</x:v>
      </x:c>
      <x:c r="D203" t="str">
        <x:v>https://example.com/listings/SYN-0202</x:v>
      </x:c>
      <x:c r="E203" t="str">
        <x:v>New Project</x:v>
      </x:c>
      <x:c r="F203" t="str">
        <x:v>Weizmann Urban</x:v>
      </x:c>
      <x:c r="G203" t="str">
        <x:v>Sample Development B</x:v>
      </x:c>
      <x:c r="H203" t="str">
        <x:v>Helsinki 93, Tel Aviv</x:v>
      </x:c>
      <x:c r="I203" t="str">
        <x:v>Tel Aviv</x:v>
      </x:c>
      <x:c r="J203" t="str">
        <x:v>Kikar HaMedina / New North</x:v>
      </x:c>
      <x:c r="K203" s="14" t="n">
        <x:v>0.18</x:v>
      </x:c>
      <x:c r="L203" t="str">
        <x:v>Apartment</x:v>
      </x:c>
      <x:c r="M203" t="n">
        <x:v>5</x:v>
      </x:c>
      <x:c r="N203" s="16" t="n">
        <x:v>113.5</x:v>
      </x:c>
      <x:c r="O203" t="n">
        <x:v>12</x:v>
      </x:c>
      <x:c r="P203" t="n">
        <x:v>14</x:v>
      </x:c>
      <x:c r="Q203" s="18" t="n">
        <x:v>9300000</x:v>
      </x:c>
      <x:c r="R203" s="18" t="n">
        <x:f>IFERROR(Q203/N203,"")</x:f>
        <x:v>81938.32599118943</x:v>
      </x:c>
      <x:c r="S203" t="n">
        <x:v>2027</x:v>
      </x:c>
      <x:c r="T203" t="n">
        <x:v>0</x:v>
      </x:c>
      <x:c r="U203" t="str">
        <x:v>New</x:v>
      </x:c>
      <x:c r="V203" s="16" t="n">
        <x:v>23.8</x:v>
      </x:c>
      <x:c r="W203" t="str">
        <x:v>North-East</x:v>
      </x:c>
      <x:c r="X203" t="n">
        <x:v>1</x:v>
      </x:c>
      <x:c r="Y203" s="16" t="n">
        <x:v>7.9</x:v>
      </x:c>
      <x:c r="Z203" s="1" t="b">
        <x:v>1</x:v>
      </x:c>
      <x:c r="AA203" t="str">
        <x:v>North-East, South</x:v>
      </x:c>
      <x:c r="AB203" s="16" t="n">
        <x:v>0</x:v>
      </x:c>
      <x:c r="AC203" s="16" t="n">
        <x:v>0</x:v>
      </x:c>
      <x:c r="AD203" s="1" t="b">
        <x:v>0</x:v>
      </x:c>
    </x:row>
    <x:row r="204">
      <x:c r="A204" t="str">
        <x:v>SYN-0203</x:v>
      </x:c>
      <x:c r="B204" s="12" t="n">
        <x:v>46211</x:v>
      </x:c>
      <x:c r="C204" t="str">
        <x:v>Synthetic Yad2-like Listing</x:v>
      </x:c>
      <x:c r="D204" t="str">
        <x:v>https://example.com/listings/SYN-0203</x:v>
      </x:c>
      <x:c r="E204" t="str">
        <x:v>Second Hand</x:v>
      </x:c>
      <x:c r="F204" t="str"/>
      <x:c r="G204" t="str"/>
      <x:c r="H204" t="str">
        <x:v>Biltmore 105, Tel Aviv</x:v>
      </x:c>
      <x:c r="I204" t="str">
        <x:v>Tel Aviv</x:v>
      </x:c>
      <x:c r="J204" t="str">
        <x:v>Kikar HaMedina / New North</x:v>
      </x:c>
      <x:c r="K204" s="14" t="n">
        <x:v>0.84</x:v>
      </x:c>
      <x:c r="L204" t="str">
        <x:v>Apartment</x:v>
      </x:c>
      <x:c r="M204" t="n">
        <x:v>3</x:v>
      </x:c>
      <x:c r="N204" s="16" t="n">
        <x:v>69.6</x:v>
      </x:c>
      <x:c r="O204" t="n">
        <x:v>0</x:v>
      </x:c>
      <x:c r="P204" t="n">
        <x:v>15</x:v>
      </x:c>
      <x:c r="Q204" s="18" t="n">
        <x:v>5410000</x:v>
      </x:c>
      <x:c r="R204" s="18" t="n">
        <x:f>IFERROR(Q204/N204,"")</x:f>
        <x:v>77729.88505747127</x:v>
      </x:c>
      <x:c r="S204" t="n">
        <x:v>2021</x:v>
      </x:c>
      <x:c r="T204" t="n">
        <x:v>5</x:v>
      </x:c>
      <x:c r="U204" t="str">
        <x:v>Renovated</x:v>
      </x:c>
      <x:c r="V204" s="16" t="n">
        <x:v>19.6</x:v>
      </x:c>
      <x:c r="W204" t="str">
        <x:v>North-West</x:v>
      </x:c>
      <x:c r="X204" t="n">
        <x:v>1</x:v>
      </x:c>
      <x:c r="Y204" s="16" t="n">
        <x:v>0</x:v>
      </x:c>
      <x:c r="Z204" s="1" t="b">
        <x:v>1</x:v>
      </x:c>
      <x:c r="AA204" t="str">
        <x:v>North-West, North</x:v>
      </x:c>
      <x:c r="AB204" s="16" t="n">
        <x:v>0</x:v>
      </x:c>
      <x:c r="AC204" s="16" t="n">
        <x:v>0</x:v>
      </x:c>
      <x:c r="AD204" s="1" t="b">
        <x:v>0</x:v>
      </x:c>
    </x:row>
    <x:row r="205">
      <x:c r="A205" t="str">
        <x:v>SYN-0204</x:v>
      </x:c>
      <x:c r="B205" s="12" t="n">
        <x:v>46247</x:v>
      </x:c>
      <x:c r="C205" t="str">
        <x:v>Synthetic Yad2-like Listing</x:v>
      </x:c>
      <x:c r="D205" t="str">
        <x:v>https://example.com/listings/SYN-0204</x:v>
      </x:c>
      <x:c r="E205" t="str">
        <x:v>Second Hand</x:v>
      </x:c>
      <x:c r="F205" t="str"/>
      <x:c r="G205" t="str"/>
      <x:c r="H205" t="str">
        <x:v>Helsinki 124, Tel Aviv</x:v>
      </x:c>
      <x:c r="I205" t="str">
        <x:v>Tel Aviv</x:v>
      </x:c>
      <x:c r="J205" t="str">
        <x:v>Kikar HaMedina / New North</x:v>
      </x:c>
      <x:c r="K205" s="14" t="n">
        <x:v>0.07</x:v>
      </x:c>
      <x:c r="L205" t="str">
        <x:v>Apartment</x:v>
      </x:c>
      <x:c r="M205" t="n">
        <x:v>5</x:v>
      </x:c>
      <x:c r="N205" s="16" t="n">
        <x:v>134.8</x:v>
      </x:c>
      <x:c r="O205" t="n">
        <x:v>12</x:v>
      </x:c>
      <x:c r="P205" t="n">
        <x:v>17</x:v>
      </x:c>
      <x:c r="Q205" s="18" t="n">
        <x:v>8710000</x:v>
      </x:c>
      <x:c r="R205" s="18" t="n">
        <x:f>IFERROR(Q205/N205,"")</x:f>
        <x:v>64614.24332344213</x:v>
      </x:c>
      <x:c r="S205" t="n">
        <x:v>1989</x:v>
      </x:c>
      <x:c r="T205" t="n">
        <x:v>37</x:v>
      </x:c>
      <x:c r="U205" t="str">
        <x:v>Needs Renovation</x:v>
      </x:c>
      <x:c r="V205" s="16" t="n">
        <x:v>17</x:v>
      </x:c>
      <x:c r="W205" t="str">
        <x:v>South-West</x:v>
      </x:c>
      <x:c r="X205" t="n">
        <x:v>0</x:v>
      </x:c>
      <x:c r="Y205" s="16" t="n">
        <x:v>0</x:v>
      </x:c>
      <x:c r="Z205" s="1" t="b">
        <x:v>1</x:v>
      </x:c>
      <x:c r="AA205" t="str">
        <x:v>South-West, North</x:v>
      </x:c>
      <x:c r="AB205" s="16" t="n">
        <x:v>0</x:v>
      </x:c>
      <x:c r="AC205" s="16" t="n">
        <x:v>0</x:v>
      </x:c>
      <x:c r="AD205" s="1" t="b">
        <x:v>0</x:v>
      </x:c>
    </x:row>
    <x:row r="206">
      <x:c r="A206" t="str">
        <x:v>SYN-0205</x:v>
      </x:c>
      <x:c r="B206" s="12" t="n">
        <x:v>46235</x:v>
      </x:c>
      <x:c r="C206" t="str">
        <x:v>Synthetic Yad2-like Listing</x:v>
      </x:c>
      <x:c r="D206" t="str">
        <x:v>https://example.com/listings/SYN-0205</x:v>
      </x:c>
      <x:c r="E206" t="str">
        <x:v>Second Hand</x:v>
      </x:c>
      <x:c r="F206" t="str"/>
      <x:c r="G206" t="str"/>
      <x:c r="H206" t="str">
        <x:v>Lissin 147, Tel Aviv</x:v>
      </x:c>
      <x:c r="I206" t="str">
        <x:v>Tel Aviv</x:v>
      </x:c>
      <x:c r="J206" t="str">
        <x:v>Kikar HaMedina / New North</x:v>
      </x:c>
      <x:c r="K206" s="14" t="n">
        <x:v>0.63</x:v>
      </x:c>
      <x:c r="L206" t="str">
        <x:v>Apartment</x:v>
      </x:c>
      <x:c r="M206" t="n">
        <x:v>5</x:v>
      </x:c>
      <x:c r="N206" s="16" t="n">
        <x:v>122.7</x:v>
      </x:c>
      <x:c r="O206" t="n">
        <x:v>5</x:v>
      </x:c>
      <x:c r="P206" t="n">
        <x:v>14</x:v>
      </x:c>
      <x:c r="Q206" s="18" t="n">
        <x:v>8230000</x:v>
      </x:c>
      <x:c r="R206" s="18" t="n">
        <x:f>IFERROR(Q206/N206,"")</x:f>
        <x:v>67074.16462917686</x:v>
      </x:c>
      <x:c r="S206" t="n">
        <x:v>1995</x:v>
      </x:c>
      <x:c r="T206" t="n">
        <x:v>31</x:v>
      </x:c>
      <x:c r="U206" t="str">
        <x:v>Needs Renovation</x:v>
      </x:c>
      <x:c r="V206" s="16" t="n">
        <x:v>0</x:v>
      </x:c>
      <x:c r="W206" t="str"/>
      <x:c r="X206" t="n">
        <x:v>2</x:v>
      </x:c>
      <x:c r="Y206" s="16" t="n">
        <x:v>8.2</x:v>
      </x:c>
      <x:c r="Z206" s="1" t="b">
        <x:v>1</x:v>
      </x:c>
      <x:c r="AA206" t="str">
        <x:v>North-East</x:v>
      </x:c>
      <x:c r="AB206" s="16" t="n">
        <x:v>0</x:v>
      </x:c>
      <x:c r="AC206" s="16" t="n">
        <x:v>0</x:v>
      </x:c>
      <x:c r="AD206" s="1" t="b">
        <x:v>0</x:v>
      </x:c>
    </x:row>
    <x:row r="207">
      <x:c r="A207" t="str">
        <x:v>SYN-0206</x:v>
      </x:c>
      <x:c r="B207" s="12" t="n">
        <x:v>46227</x:v>
      </x:c>
      <x:c r="C207" t="str">
        <x:v>Synthetic Yad2-like Listing</x:v>
      </x:c>
      <x:c r="D207" t="str">
        <x:v>https://example.com/listings/SYN-0206</x:v>
      </x:c>
      <x:c r="E207" t="str">
        <x:v>Second Hand</x:v>
      </x:c>
      <x:c r="F207" t="str"/>
      <x:c r="G207" t="str"/>
      <x:c r="H207" t="str">
        <x:v>Lissin 158, Tel Aviv</x:v>
      </x:c>
      <x:c r="I207" t="str">
        <x:v>Tel Aviv</x:v>
      </x:c>
      <x:c r="J207" t="str">
        <x:v>Kikar HaMedina / New North</x:v>
      </x:c>
      <x:c r="K207" s="14" t="n">
        <x:v>0.7</x:v>
      </x:c>
      <x:c r="L207" t="str">
        <x:v>Apartment</x:v>
      </x:c>
      <x:c r="M207" t="n">
        <x:v>3</x:v>
      </x:c>
      <x:c r="N207" s="16" t="n">
        <x:v>70.6</x:v>
      </x:c>
      <x:c r="O207" t="n">
        <x:v>4</x:v>
      </x:c>
      <x:c r="P207" t="n">
        <x:v>8</x:v>
      </x:c>
      <x:c r="Q207" s="18" t="n">
        <x:v>4460000</x:v>
      </x:c>
      <x:c r="R207" s="18" t="n">
        <x:f>IFERROR(Q207/N207,"")</x:f>
        <x:v>63172.80453257791</x:v>
      </x:c>
      <x:c r="S207" t="n">
        <x:v>1965</x:v>
      </x:c>
      <x:c r="T207" t="n">
        <x:v>61</x:v>
      </x:c>
      <x:c r="U207" t="str">
        <x:v>Good</x:v>
      </x:c>
      <x:c r="V207" s="16" t="n">
        <x:v>0</x:v>
      </x:c>
      <x:c r="W207" t="str"/>
      <x:c r="X207" t="n">
        <x:v>0</x:v>
      </x:c>
      <x:c r="Y207" s="16" t="n">
        <x:v>8.5</x:v>
      </x:c>
      <x:c r="Z207" s="1" t="b">
        <x:v>1</x:v>
      </x:c>
      <x:c r="AA207" t="str">
        <x:v>West</x:v>
      </x:c>
      <x:c r="AB207" s="16" t="n">
        <x:v>0</x:v>
      </x:c>
      <x:c r="AC207" s="16" t="n">
        <x:v>0</x:v>
      </x:c>
      <x:c r="AD207" s="1" t="b">
        <x:v>0</x:v>
      </x:c>
    </x:row>
    <x:row r="208">
      <x:c r="A208" t="str">
        <x:v>SYN-0207</x:v>
      </x:c>
      <x:c r="B208" s="12" t="n">
        <x:v>46211</x:v>
      </x:c>
      <x:c r="C208" t="str">
        <x:v>Synthetic Yad2-like Listing</x:v>
      </x:c>
      <x:c r="D208" t="str">
        <x:v>https://example.com/listings/SYN-0207</x:v>
      </x:c>
      <x:c r="E208" t="str">
        <x:v>Second Hand</x:v>
      </x:c>
      <x:c r="F208" t="str"/>
      <x:c r="G208" t="str"/>
      <x:c r="H208" t="str">
        <x:v>Biltmore 129, Tel Aviv</x:v>
      </x:c>
      <x:c r="I208" t="str">
        <x:v>Tel Aviv</x:v>
      </x:c>
      <x:c r="J208" t="str">
        <x:v>Kikar HaMedina / New North</x:v>
      </x:c>
      <x:c r="K208" s="14" t="n">
        <x:v>0.8</x:v>
      </x:c>
      <x:c r="L208" t="str">
        <x:v>Apartment</x:v>
      </x:c>
      <x:c r="M208" t="n">
        <x:v>4</x:v>
      </x:c>
      <x:c r="N208" s="16" t="n">
        <x:v>107.7</x:v>
      </x:c>
      <x:c r="O208" t="n">
        <x:v>9</x:v>
      </x:c>
      <x:c r="P208" t="n">
        <x:v>14</x:v>
      </x:c>
      <x:c r="Q208" s="18" t="n">
        <x:v>6540000</x:v>
      </x:c>
      <x:c r="R208" s="18" t="n">
        <x:f>IFERROR(Q208/N208,"")</x:f>
        <x:v>60724.233983286904</x:v>
      </x:c>
      <x:c r="S208" t="n">
        <x:v>1963</x:v>
      </x:c>
      <x:c r="T208" t="n">
        <x:v>63</x:v>
      </x:c>
      <x:c r="U208" t="str">
        <x:v>Good</x:v>
      </x:c>
      <x:c r="V208" s="16" t="n">
        <x:v>0</x:v>
      </x:c>
      <x:c r="W208" t="str"/>
      <x:c r="X208" t="n">
        <x:v>0</x:v>
      </x:c>
      <x:c r="Y208" s="16" t="n">
        <x:v>4.6</x:v>
      </x:c>
      <x:c r="Z208" s="1" t="b">
        <x:v>1</x:v>
      </x:c>
      <x:c r="AA208" t="str">
        <x:v>East</x:v>
      </x:c>
      <x:c r="AB208" s="16" t="n">
        <x:v>0</x:v>
      </x:c>
      <x:c r="AC208" s="16" t="n">
        <x:v>0</x:v>
      </x:c>
      <x:c r="AD208" s="1" t="b">
        <x:v>0</x:v>
      </x:c>
    </x:row>
    <x:row r="209">
      <x:c r="A209" t="str">
        <x:v>SYN-0208</x:v>
      </x:c>
      <x:c r="B209" s="12" t="n">
        <x:v>46221</x:v>
      </x:c>
      <x:c r="C209" t="str">
        <x:v>Synthetic Yad2-like Listing</x:v>
      </x:c>
      <x:c r="D209" t="str">
        <x:v>https://example.com/listings/SYN-0208</x:v>
      </x:c>
      <x:c r="E209" t="str">
        <x:v>Second Hand</x:v>
      </x:c>
      <x:c r="F209" t="str"/>
      <x:c r="G209" t="str"/>
      <x:c r="H209" t="str">
        <x:v>Lissin 109, Tel Aviv</x:v>
      </x:c>
      <x:c r="I209" t="str">
        <x:v>Tel Aviv</x:v>
      </x:c>
      <x:c r="J209" t="str">
        <x:v>Kikar HaMedina / New North</x:v>
      </x:c>
      <x:c r="K209" s="14" t="n">
        <x:v>0.66</x:v>
      </x:c>
      <x:c r="L209" t="str">
        <x:v>Garden Apartment</x:v>
      </x:c>
      <x:c r="M209" t="n">
        <x:v>4</x:v>
      </x:c>
      <x:c r="N209" s="16" t="n">
        <x:v>101.8</x:v>
      </x:c>
      <x:c r="O209" t="n">
        <x:v>0</x:v>
      </x:c>
      <x:c r="P209" t="n">
        <x:v>14</x:v>
      </x:c>
      <x:c r="Q209" s="18" t="n">
        <x:v>8520000</x:v>
      </x:c>
      <x:c r="R209" s="18" t="n">
        <x:f>IFERROR(Q209/N209,"")</x:f>
        <x:v>83693.51669941061</x:v>
      </x:c>
      <x:c r="S209" t="n">
        <x:v>1981</x:v>
      </x:c>
      <x:c r="T209" t="n">
        <x:v>45</x:v>
      </x:c>
      <x:c r="U209" t="str">
        <x:v>Good</x:v>
      </x:c>
      <x:c r="V209" s="16" t="n">
        <x:v>74.8</x:v>
      </x:c>
      <x:c r="W209" t="str">
        <x:v>North-East</x:v>
      </x:c>
      <x:c r="X209" t="n">
        <x:v>1</x:v>
      </x:c>
      <x:c r="Y209" s="16" t="n">
        <x:v>4.9</x:v>
      </x:c>
      <x:c r="Z209" s="1" t="b">
        <x:v>0</x:v>
      </x:c>
      <x:c r="AA209" t="str">
        <x:v>North-East, North</x:v>
      </x:c>
      <x:c r="AB209" s="16" t="n">
        <x:v>86.4</x:v>
      </x:c>
      <x:c r="AC209" s="16" t="n">
        <x:v>0</x:v>
      </x:c>
      <x:c r="AD209" s="1" t="b">
        <x:v>0</x:v>
      </x:c>
    </x:row>
    <x:row r="210">
      <x:c r="A210" t="str">
        <x:v>SYN-0209</x:v>
      </x:c>
      <x:c r="B210" s="12" t="n">
        <x:v>46250</x:v>
      </x:c>
      <x:c r="C210" t="str">
        <x:v>Synthetic Yad2-like Listing</x:v>
      </x:c>
      <x:c r="D210" t="str">
        <x:v>https://example.com/listings/SYN-0209</x:v>
      </x:c>
      <x:c r="E210" t="str">
        <x:v>Second Hand</x:v>
      </x:c>
      <x:c r="F210" t="str"/>
      <x:c r="G210" t="str"/>
      <x:c r="H210" t="str">
        <x:v>Pinkas 108, Tel Aviv</x:v>
      </x:c>
      <x:c r="I210" t="str">
        <x:v>Tel Aviv</x:v>
      </x:c>
      <x:c r="J210" t="str">
        <x:v>Kikar HaMedina / New North</x:v>
      </x:c>
      <x:c r="K210" s="14" t="n">
        <x:v>0.44</x:v>
      </x:c>
      <x:c r="L210" t="str">
        <x:v>Apartment</x:v>
      </x:c>
      <x:c r="M210" t="n">
        <x:v>4</x:v>
      </x:c>
      <x:c r="N210" s="16" t="n">
        <x:v>107.6</x:v>
      </x:c>
      <x:c r="O210" t="n">
        <x:v>10</x:v>
      </x:c>
      <x:c r="P210" t="n">
        <x:v>14</x:v>
      </x:c>
      <x:c r="Q210" s="18" t="n">
        <x:v>6990000</x:v>
      </x:c>
      <x:c r="R210" s="18" t="n">
        <x:f>IFERROR(Q210/N210,"")</x:f>
        <x:v>64962.825278810415</x:v>
      </x:c>
      <x:c r="S210" t="n">
        <x:v>1972</x:v>
      </x:c>
      <x:c r="T210" t="n">
        <x:v>54</x:v>
      </x:c>
      <x:c r="U210" t="str">
        <x:v>Renovated</x:v>
      </x:c>
      <x:c r="V210" s="16" t="n">
        <x:v>0</x:v>
      </x:c>
      <x:c r="W210" t="str"/>
      <x:c r="X210" t="n">
        <x:v>0</x:v>
      </x:c>
      <x:c r="Y210" s="16" t="n">
        <x:v>0</x:v>
      </x:c>
      <x:c r="Z210" s="1" t="b">
        <x:v>1</x:v>
      </x:c>
      <x:c r="AA210" t="str">
        <x:v>South-West-East</x:v>
      </x:c>
      <x:c r="AB210" s="16" t="n">
        <x:v>0</x:v>
      </x:c>
      <x:c r="AC210" s="16" t="n">
        <x:v>0</x:v>
      </x:c>
      <x:c r="AD210" s="1" t="b">
        <x:v>0</x:v>
      </x:c>
    </x:row>
    <x:row r="211">
      <x:c r="A211" t="str">
        <x:v>SYN-0210</x:v>
      </x:c>
      <x:c r="B211" s="12" t="n">
        <x:v>46247</x:v>
      </x:c>
      <x:c r="C211" t="str">
        <x:v>Synthetic New-Project Listing</x:v>
      </x:c>
      <x:c r="D211" t="str">
        <x:v>https://example.com/listings/SYN-0210</x:v>
      </x:c>
      <x:c r="E211" t="str">
        <x:v>New Project</x:v>
      </x:c>
      <x:c r="F211" t="str">
        <x:v>Helsinki Gardens</x:v>
      </x:c>
      <x:c r="G211" t="str">
        <x:v>Sample Development C</x:v>
      </x:c>
      <x:c r="H211" t="str">
        <x:v>Mosenzon 144, Tel Aviv</x:v>
      </x:c>
      <x:c r="I211" t="str">
        <x:v>Tel Aviv</x:v>
      </x:c>
      <x:c r="J211" t="str">
        <x:v>Kikar HaMedina / New North</x:v>
      </x:c>
      <x:c r="K211" s="14" t="n">
        <x:v>0.8</x:v>
      </x:c>
      <x:c r="L211" t="str">
        <x:v>Apartment</x:v>
      </x:c>
      <x:c r="M211" t="n">
        <x:v>4</x:v>
      </x:c>
      <x:c r="N211" s="16" t="n">
        <x:v>93</x:v>
      </x:c>
      <x:c r="O211" t="n">
        <x:v>9</x:v>
      </x:c>
      <x:c r="P211" t="n">
        <x:v>10</x:v>
      </x:c>
      <x:c r="Q211" s="18" t="n">
        <x:v>7690000</x:v>
      </x:c>
      <x:c r="R211" s="18" t="n">
        <x:f>IFERROR(Q211/N211,"")</x:f>
        <x:v>82688.17204301075</x:v>
      </x:c>
      <x:c r="S211" t="n">
        <x:v>2026</x:v>
      </x:c>
      <x:c r="T211" t="n">
        <x:v>0</x:v>
      </x:c>
      <x:c r="U211" t="str">
        <x:v>New</x:v>
      </x:c>
      <x:c r="V211" s="16" t="n">
        <x:v>21</x:v>
      </x:c>
      <x:c r="W211" t="str">
        <x:v>South-West</x:v>
      </x:c>
      <x:c r="X211" t="n">
        <x:v>1</x:v>
      </x:c>
      <x:c r="Y211" s="16" t="n">
        <x:v>8.2</x:v>
      </x:c>
      <x:c r="Z211" s="1" t="b">
        <x:v>1</x:v>
      </x:c>
      <x:c r="AA211" t="str">
        <x:v>South-West, East</x:v>
      </x:c>
      <x:c r="AB211" s="16" t="n">
        <x:v>0</x:v>
      </x:c>
      <x:c r="AC211" s="16" t="n">
        <x:v>0</x:v>
      </x:c>
      <x:c r="AD211" s="1" t="b">
        <x:v>1</x:v>
      </x:c>
    </x:row>
    <x:row r="212">
      <x:c r="A212" t="str">
        <x:v>SYN-0211</x:v>
      </x:c>
      <x:c r="B212" s="12" t="n">
        <x:v>46209</x:v>
      </x:c>
      <x:c r="C212" t="str">
        <x:v>Synthetic Yad2-like Listing</x:v>
      </x:c>
      <x:c r="D212" t="str">
        <x:v>https://example.com/listings/SYN-0211</x:v>
      </x:c>
      <x:c r="E212" t="str">
        <x:v>Second Hand</x:v>
      </x:c>
      <x:c r="F212" t="str"/>
      <x:c r="G212" t="str"/>
      <x:c r="H212" t="str">
        <x:v>Pinkas 87, Tel Aviv</x:v>
      </x:c>
      <x:c r="I212" t="str">
        <x:v>Tel Aviv</x:v>
      </x:c>
      <x:c r="J212" t="str">
        <x:v>Kikar HaMedina / New North</x:v>
      </x:c>
      <x:c r="K212" s="14" t="n">
        <x:v>0.53</x:v>
      </x:c>
      <x:c r="L212" t="str">
        <x:v>Apartment</x:v>
      </x:c>
      <x:c r="M212" t="n">
        <x:v>3</x:v>
      </x:c>
      <x:c r="N212" s="16" t="n">
        <x:v>78.2</x:v>
      </x:c>
      <x:c r="O212" t="n">
        <x:v>10</x:v>
      </x:c>
      <x:c r="P212" t="n">
        <x:v>13</x:v>
      </x:c>
      <x:c r="Q212" s="18" t="n">
        <x:v>5780000</x:v>
      </x:c>
      <x:c r="R212" s="18" t="n">
        <x:f>IFERROR(Q212/N212,"")</x:f>
        <x:v>73913.04347826086</x:v>
      </x:c>
      <x:c r="S212" t="n">
        <x:v>1999</x:v>
      </x:c>
      <x:c r="T212" t="n">
        <x:v>27</x:v>
      </x:c>
      <x:c r="U212" t="str">
        <x:v>Renovated</x:v>
      </x:c>
      <x:c r="V212" s="16" t="n">
        <x:v>13.2</x:v>
      </x:c>
      <x:c r="W212" t="str">
        <x:v>South-West</x:v>
      </x:c>
      <x:c r="X212" t="n">
        <x:v>0</x:v>
      </x:c>
      <x:c r="Y212" s="16" t="n">
        <x:v>0</x:v>
      </x:c>
      <x:c r="Z212" s="1" t="b">
        <x:v>1</x:v>
      </x:c>
      <x:c r="AA212" t="str">
        <x:v>South-West, East</x:v>
      </x:c>
      <x:c r="AB212" s="16" t="n">
        <x:v>0</x:v>
      </x:c>
      <x:c r="AC212" s="16" t="n">
        <x:v>0</x:v>
      </x:c>
      <x:c r="AD212" s="1" t="b">
        <x:v>0</x:v>
      </x:c>
    </x:row>
    <x:row r="213">
      <x:c r="A213" t="str">
        <x:v>SYN-0212</x:v>
      </x:c>
      <x:c r="B213" s="12" t="n">
        <x:v>46251</x:v>
      </x:c>
      <x:c r="C213" t="str">
        <x:v>Synthetic New-Project Listing</x:v>
      </x:c>
      <x:c r="D213" t="str">
        <x:v>https://example.com/listings/SYN-0212</x:v>
      </x:c>
      <x:c r="E213" t="str">
        <x:v>New Project</x:v>
      </x:c>
      <x:c r="F213" t="str">
        <x:v>Medina Boutique</x:v>
      </x:c>
      <x:c r="G213" t="str">
        <x:v>Sample Development E</x:v>
      </x:c>
      <x:c r="H213" t="str">
        <x:v>Klay 116, Tel Aviv</x:v>
      </x:c>
      <x:c r="I213" t="str">
        <x:v>Tel Aviv</x:v>
      </x:c>
      <x:c r="J213" t="str">
        <x:v>Kikar HaMedina / New North</x:v>
      </x:c>
      <x:c r="K213" s="14" t="n">
        <x:v>0.52</x:v>
      </x:c>
      <x:c r="L213" t="str">
        <x:v>Apartment</x:v>
      </x:c>
      <x:c r="M213" t="n">
        <x:v>3</x:v>
      </x:c>
      <x:c r="N213" s="16" t="n">
        <x:v>72.3</x:v>
      </x:c>
      <x:c r="O213" t="n">
        <x:v>4</x:v>
      </x:c>
      <x:c r="P213" t="n">
        <x:v>16</x:v>
      </x:c>
      <x:c r="Q213" s="18" t="n">
        <x:v>5790000</x:v>
      </x:c>
      <x:c r="R213" s="18" t="n">
        <x:f>IFERROR(Q213/N213,"")</x:f>
        <x:v>80082.98755186722</x:v>
      </x:c>
      <x:c r="S213" t="n">
        <x:v>2027</x:v>
      </x:c>
      <x:c r="T213" t="n">
        <x:v>0</x:v>
      </x:c>
      <x:c r="U213" t="str">
        <x:v>New</x:v>
      </x:c>
      <x:c r="V213" s="16" t="n">
        <x:v>12.3</x:v>
      </x:c>
      <x:c r="W213" t="str">
        <x:v>South-West</x:v>
      </x:c>
      <x:c r="X213" t="n">
        <x:v>1</x:v>
      </x:c>
      <x:c r="Y213" s="16" t="n">
        <x:v>0</x:v>
      </x:c>
      <x:c r="Z213" s="1" t="b">
        <x:v>1</x:v>
      </x:c>
      <x:c r="AA213" t="str">
        <x:v>South-West, South</x:v>
      </x:c>
      <x:c r="AB213" s="16" t="n">
        <x:v>0</x:v>
      </x:c>
      <x:c r="AC213" s="16" t="n">
        <x:v>0</x:v>
      </x:c>
      <x:c r="AD213" s="1" t="b">
        <x:v>0</x:v>
      </x:c>
    </x:row>
    <x:row r="214">
      <x:c r="A214" t="str">
        <x:v>SYN-0213</x:v>
      </x:c>
      <x:c r="B214" s="12" t="n">
        <x:v>46212</x:v>
      </x:c>
      <x:c r="C214" t="str">
        <x:v>Synthetic Yad2-like Listing</x:v>
      </x:c>
      <x:c r="D214" t="str">
        <x:v>https://example.com/listings/SYN-0213</x:v>
      </x:c>
      <x:c r="E214" t="str">
        <x:v>Second Hand</x:v>
      </x:c>
      <x:c r="F214" t="str"/>
      <x:c r="G214" t="str"/>
      <x:c r="H214" t="str">
        <x:v>Epstein 100, Tel Aviv</x:v>
      </x:c>
      <x:c r="I214" t="str">
        <x:v>Tel Aviv</x:v>
      </x:c>
      <x:c r="J214" t="str">
        <x:v>Kikar HaMedina / New North</x:v>
      </x:c>
      <x:c r="K214" s="14" t="n">
        <x:v>0.92</x:v>
      </x:c>
      <x:c r="L214" t="str">
        <x:v>Apartment</x:v>
      </x:c>
      <x:c r="M214" t="n">
        <x:v>2</x:v>
      </x:c>
      <x:c r="N214" s="16" t="n">
        <x:v>48.3</x:v>
      </x:c>
      <x:c r="O214" t="n">
        <x:v>1</x:v>
      </x:c>
      <x:c r="P214" t="n">
        <x:v>5</x:v>
      </x:c>
      <x:c r="Q214" s="18" t="n">
        <x:v>3360000</x:v>
      </x:c>
      <x:c r="R214" s="18" t="n">
        <x:f>IFERROR(Q214/N214,"")</x:f>
        <x:v>69565.21739130435</x:v>
      </x:c>
      <x:c r="S214" t="n">
        <x:v>1965</x:v>
      </x:c>
      <x:c r="T214" t="n">
        <x:v>61</x:v>
      </x:c>
      <x:c r="U214" t="str">
        <x:v>Renovated</x:v>
      </x:c>
      <x:c r="V214" s="16" t="n">
        <x:v>0</x:v>
      </x:c>
      <x:c r="W214" t="str"/>
      <x:c r="X214" t="n">
        <x:v>1</x:v>
      </x:c>
      <x:c r="Y214" s="16" t="n">
        <x:v>5.8</x:v>
      </x:c>
      <x:c r="Z214" s="1" t="b">
        <x:v>1</x:v>
      </x:c>
      <x:c r="AA214" t="str">
        <x:v>North</x:v>
      </x:c>
      <x:c r="AB214" s="16" t="n">
        <x:v>0</x:v>
      </x:c>
      <x:c r="AC214" s="16" t="n">
        <x:v>0</x:v>
      </x:c>
      <x:c r="AD214" s="1" t="b">
        <x:v>0</x:v>
      </x:c>
    </x:row>
    <x:row r="215">
      <x:c r="A215" t="str">
        <x:v>SYN-0214</x:v>
      </x:c>
      <x:c r="B215" s="12" t="n">
        <x:v>46238</x:v>
      </x:c>
      <x:c r="C215" t="str">
        <x:v>Synthetic Yad2-like Listing</x:v>
      </x:c>
      <x:c r="D215" t="str">
        <x:v>https://example.com/listings/SYN-0214</x:v>
      </x:c>
      <x:c r="E215" t="str">
        <x:v>Second Hand</x:v>
      </x:c>
      <x:c r="F215" t="str"/>
      <x:c r="G215" t="str"/>
      <x:c r="H215" t="str">
        <x:v>Epstein 112, Tel Aviv</x:v>
      </x:c>
      <x:c r="I215" t="str">
        <x:v>Tel Aviv</x:v>
      </x:c>
      <x:c r="J215" t="str">
        <x:v>Kikar HaMedina / New North</x:v>
      </x:c>
      <x:c r="K215" s="14" t="n">
        <x:v>0.95</x:v>
      </x:c>
      <x:c r="L215" t="str">
        <x:v>Apartment</x:v>
      </x:c>
      <x:c r="M215" t="n">
        <x:v>2</x:v>
      </x:c>
      <x:c r="N215" s="16" t="n">
        <x:v>46.5</x:v>
      </x:c>
      <x:c r="O215" t="n">
        <x:v>5</x:v>
      </x:c>
      <x:c r="P215" t="n">
        <x:v>11</x:v>
      </x:c>
      <x:c r="Q215" s="18" t="n">
        <x:v>3800000</x:v>
      </x:c>
      <x:c r="R215" s="18" t="n">
        <x:f>IFERROR(Q215/N215,"")</x:f>
        <x:v>81720.43010752689</x:v>
      </x:c>
      <x:c r="S215" t="n">
        <x:v>1997</x:v>
      </x:c>
      <x:c r="T215" t="n">
        <x:v>29</x:v>
      </x:c>
      <x:c r="U215" t="str">
        <x:v>Good</x:v>
      </x:c>
      <x:c r="V215" s="16" t="n">
        <x:v>21.9</x:v>
      </x:c>
      <x:c r="W215" t="str">
        <x:v>North-East</x:v>
      </x:c>
      <x:c r="X215" t="n">
        <x:v>1</x:v>
      </x:c>
      <x:c r="Y215" s="16" t="n">
        <x:v>9.6</x:v>
      </x:c>
      <x:c r="Z215" s="1" t="b">
        <x:v>1</x:v>
      </x:c>
      <x:c r="AA215" t="str">
        <x:v>North-East, East</x:v>
      </x:c>
      <x:c r="AB215" s="16" t="n">
        <x:v>0</x:v>
      </x:c>
      <x:c r="AC215" s="16" t="n">
        <x:v>0</x:v>
      </x:c>
      <x:c r="AD215" s="1" t="b">
        <x:v>0</x:v>
      </x:c>
    </x:row>
    <x:row r="216">
      <x:c r="A216" t="str">
        <x:v>SYN-0215</x:v>
      </x:c>
      <x:c r="B216" s="12" t="n">
        <x:v>46231</x:v>
      </x:c>
      <x:c r="C216" t="str">
        <x:v>Synthetic New-Project Listing</x:v>
      </x:c>
      <x:c r="D216" t="str">
        <x:v>https://example.com/listings/SYN-0215</x:v>
      </x:c>
      <x:c r="E216" t="str">
        <x:v>New Project</x:v>
      </x:c>
      <x:c r="F216" t="str">
        <x:v>North TLV Living</x:v>
      </x:c>
      <x:c r="G216" t="str">
        <x:v>Sample Development D</x:v>
      </x:c>
      <x:c r="H216" t="str">
        <x:v>Bavli 75, Tel Aviv</x:v>
      </x:c>
      <x:c r="I216" t="str">
        <x:v>Tel Aviv</x:v>
      </x:c>
      <x:c r="J216" t="str">
        <x:v>Kikar HaMedina / New North</x:v>
      </x:c>
      <x:c r="K216" s="14" t="n">
        <x:v>0.83</x:v>
      </x:c>
      <x:c r="L216" t="str">
        <x:v>Apartment</x:v>
      </x:c>
      <x:c r="M216" t="n">
        <x:v>2</x:v>
      </x:c>
      <x:c r="N216" s="16" t="n">
        <x:v>50.3</x:v>
      </x:c>
      <x:c r="O216" t="n">
        <x:v>6</x:v>
      </x:c>
      <x:c r="P216" t="n">
        <x:v>11</x:v>
      </x:c>
      <x:c r="Q216" s="18" t="n">
        <x:v>4540000</x:v>
      </x:c>
      <x:c r="R216" s="18" t="n">
        <x:f>IFERROR(Q216/N216,"")</x:f>
        <x:v>90258.44930417495</x:v>
      </x:c>
      <x:c r="S216" t="n">
        <x:v>2026</x:v>
      </x:c>
      <x:c r="T216" t="n">
        <x:v>0</x:v>
      </x:c>
      <x:c r="U216" t="str">
        <x:v>New</x:v>
      </x:c>
      <x:c r="V216" s="16" t="n">
        <x:v>16.4</x:v>
      </x:c>
      <x:c r="W216" t="str">
        <x:v>East</x:v>
      </x:c>
      <x:c r="X216" t="n">
        <x:v>1</x:v>
      </x:c>
      <x:c r="Y216" s="16" t="n">
        <x:v>3.1</x:v>
      </x:c>
      <x:c r="Z216" s="1" t="b">
        <x:v>1</x:v>
      </x:c>
      <x:c r="AA216" t="str">
        <x:v>East, North</x:v>
      </x:c>
      <x:c r="AB216" s="16" t="n">
        <x:v>0</x:v>
      </x:c>
      <x:c r="AC216" s="16" t="n">
        <x:v>0</x:v>
      </x:c>
      <x:c r="AD216" s="1" t="b">
        <x:v>0</x:v>
      </x:c>
    </x:row>
    <x:row r="217">
      <x:c r="A217" t="str">
        <x:v>SYN-0216</x:v>
      </x:c>
      <x:c r="B217" s="12" t="n">
        <x:v>46243</x:v>
      </x:c>
      <x:c r="C217" t="str">
        <x:v>Synthetic New-Project Listing</x:v>
      </x:c>
      <x:c r="D217" t="str">
        <x:v>https://example.com/listings/SYN-0216</x:v>
      </x:c>
      <x:c r="E217" t="str">
        <x:v>New Project</x:v>
      </x:c>
      <x:c r="F217" t="str">
        <x:v>North TLV Living</x:v>
      </x:c>
      <x:c r="G217" t="str">
        <x:v>Sample Development D</x:v>
      </x:c>
      <x:c r="H217" t="str">
        <x:v>Jabotinsky 18, Tel Aviv</x:v>
      </x:c>
      <x:c r="I217" t="str">
        <x:v>Tel Aviv</x:v>
      </x:c>
      <x:c r="J217" t="str">
        <x:v>Kikar HaMedina / New North</x:v>
      </x:c>
      <x:c r="K217" s="14" t="n">
        <x:v>0.55</x:v>
      </x:c>
      <x:c r="L217" t="str">
        <x:v>Apartment</x:v>
      </x:c>
      <x:c r="M217" t="n">
        <x:v>2</x:v>
      </x:c>
      <x:c r="N217" s="16" t="n">
        <x:v>56.3</x:v>
      </x:c>
      <x:c r="O217" t="n">
        <x:v>6</x:v>
      </x:c>
      <x:c r="P217" t="n">
        <x:v>13</x:v>
      </x:c>
      <x:c r="Q217" s="18" t="n">
        <x:v>4630000</x:v>
      </x:c>
      <x:c r="R217" s="18" t="n">
        <x:f>IFERROR(Q217/N217,"")</x:f>
        <x:v>82238.0106571936</x:v>
      </x:c>
      <x:c r="S217" t="n">
        <x:v>2026</x:v>
      </x:c>
      <x:c r="T217" t="n">
        <x:v>0</x:v>
      </x:c>
      <x:c r="U217" t="str">
        <x:v>New</x:v>
      </x:c>
      <x:c r="V217" s="16" t="n">
        <x:v>18</x:v>
      </x:c>
      <x:c r="W217" t="str">
        <x:v>North-East</x:v>
      </x:c>
      <x:c r="X217" t="n">
        <x:v>1</x:v>
      </x:c>
      <x:c r="Y217" s="16" t="n">
        <x:v>0</x:v>
      </x:c>
      <x:c r="Z217" s="1" t="b">
        <x:v>1</x:v>
      </x:c>
      <x:c r="AA217" t="str">
        <x:v>North-East, North</x:v>
      </x:c>
      <x:c r="AB217" s="16" t="n">
        <x:v>0</x:v>
      </x:c>
      <x:c r="AC217" s="16" t="n">
        <x:v>0</x:v>
      </x:c>
      <x:c r="AD217" s="1" t="b">
        <x:v>0</x:v>
      </x:c>
    </x:row>
    <x:row r="218">
      <x:c r="A218" t="str">
        <x:v>SYN-0217</x:v>
      </x:c>
      <x:c r="B218" s="12" t="n">
        <x:v>46253</x:v>
      </x:c>
      <x:c r="C218" t="str">
        <x:v>Synthetic Yad2-like Listing</x:v>
      </x:c>
      <x:c r="D218" t="str">
        <x:v>https://example.com/listings/SYN-0217</x:v>
      </x:c>
      <x:c r="E218" t="str">
        <x:v>Second Hand</x:v>
      </x:c>
      <x:c r="F218" t="str"/>
      <x:c r="G218" t="str"/>
      <x:c r="H218" t="str">
        <x:v>Lissin 9, Tel Aviv</x:v>
      </x:c>
      <x:c r="I218" t="str">
        <x:v>Tel Aviv</x:v>
      </x:c>
      <x:c r="J218" t="str">
        <x:v>Kikar HaMedina / New North</x:v>
      </x:c>
      <x:c r="K218" s="14" t="n">
        <x:v>0.74</x:v>
      </x:c>
      <x:c r="L218" t="str">
        <x:v>Apartment</x:v>
      </x:c>
      <x:c r="M218" t="n">
        <x:v>3</x:v>
      </x:c>
      <x:c r="N218" s="16" t="n">
        <x:v>68.5</x:v>
      </x:c>
      <x:c r="O218" t="n">
        <x:v>8</x:v>
      </x:c>
      <x:c r="P218" t="n">
        <x:v>9</x:v>
      </x:c>
      <x:c r="Q218" s="18" t="n">
        <x:v>4900000</x:v>
      </x:c>
      <x:c r="R218" s="18" t="n">
        <x:f>IFERROR(Q218/N218,"")</x:f>
        <x:v>71532.84671532847</x:v>
      </x:c>
      <x:c r="S218" t="n">
        <x:v>1979</x:v>
      </x:c>
      <x:c r="T218" t="n">
        <x:v>47</x:v>
      </x:c>
      <x:c r="U218" t="str">
        <x:v>Good</x:v>
      </x:c>
      <x:c r="V218" s="16" t="n">
        <x:v>19.4</x:v>
      </x:c>
      <x:c r="W218" t="str">
        <x:v>North</x:v>
      </x:c>
      <x:c r="X218" t="n">
        <x:v>1</x:v>
      </x:c>
      <x:c r="Y218" s="16" t="n">
        <x:v>6.5</x:v>
      </x:c>
      <x:c r="Z218" s="1" t="b">
        <x:v>1</x:v>
      </x:c>
      <x:c r="AA218" t="str">
        <x:v>North, North</x:v>
      </x:c>
      <x:c r="AB218" s="16" t="n">
        <x:v>0</x:v>
      </x:c>
      <x:c r="AC218" s="16" t="n">
        <x:v>0</x:v>
      </x:c>
      <x:c r="AD218" s="1" t="b">
        <x:v>1</x:v>
      </x:c>
    </x:row>
    <x:row r="219">
      <x:c r="A219" t="str">
        <x:v>SYN-0218</x:v>
      </x:c>
      <x:c r="B219" s="12" t="n">
        <x:v>46223</x:v>
      </x:c>
      <x:c r="C219" t="str">
        <x:v>Synthetic New-Project Listing</x:v>
      </x:c>
      <x:c r="D219" t="str">
        <x:v>https://example.com/listings/SYN-0218</x:v>
      </x:c>
      <x:c r="E219" t="str">
        <x:v>New Project</x:v>
      </x:c>
      <x:c r="F219" t="str">
        <x:v>Kikar Residence</x:v>
      </x:c>
      <x:c r="G219" t="str">
        <x:v>Sample Development A</x:v>
      </x:c>
      <x:c r="H219" t="str">
        <x:v>Jabotinsky 118, Tel Aviv</x:v>
      </x:c>
      <x:c r="I219" t="str">
        <x:v>Tel Aviv</x:v>
      </x:c>
      <x:c r="J219" t="str">
        <x:v>Kikar HaMedina / New North</x:v>
      </x:c>
      <x:c r="K219" s="14" t="n">
        <x:v>0.55</x:v>
      </x:c>
      <x:c r="L219" t="str">
        <x:v>Apartment</x:v>
      </x:c>
      <x:c r="M219" t="n">
        <x:v>4</x:v>
      </x:c>
      <x:c r="N219" s="16" t="n">
        <x:v>91.6</x:v>
      </x:c>
      <x:c r="O219" t="n">
        <x:v>4</x:v>
      </x:c>
      <x:c r="P219" t="n">
        <x:v>18</x:v>
      </x:c>
      <x:c r="Q219" s="18" t="n">
        <x:v>7480000</x:v>
      </x:c>
      <x:c r="R219" s="18" t="n">
        <x:f>IFERROR(Q219/N219,"")</x:f>
        <x:v>81659.38864628822</x:v>
      </x:c>
      <x:c r="S219" t="n">
        <x:v>2025</x:v>
      </x:c>
      <x:c r="T219" t="n">
        <x:v>1</x:v>
      </x:c>
      <x:c r="U219" t="str">
        <x:v>New</x:v>
      </x:c>
      <x:c r="V219" s="16" t="n">
        <x:v>23.6</x:v>
      </x:c>
      <x:c r="W219" t="str">
        <x:v>West</x:v>
      </x:c>
      <x:c r="X219" t="n">
        <x:v>1</x:v>
      </x:c>
      <x:c r="Y219" s="16" t="n">
        <x:v>0</x:v>
      </x:c>
      <x:c r="Z219" s="1" t="b">
        <x:v>1</x:v>
      </x:c>
      <x:c r="AA219" t="str">
        <x:v>West, East</x:v>
      </x:c>
      <x:c r="AB219" s="16" t="n">
        <x:v>0</x:v>
      </x:c>
      <x:c r="AC219" s="16" t="n">
        <x:v>0</x:v>
      </x:c>
      <x:c r="AD219" s="1" t="b">
        <x:v>0</x:v>
      </x:c>
    </x:row>
    <x:row r="220">
      <x:c r="A220" t="str">
        <x:v>SYN-0219</x:v>
      </x:c>
      <x:c r="B220" s="12" t="n">
        <x:v>46254</x:v>
      </x:c>
      <x:c r="C220" t="str">
        <x:v>Synthetic Yad2-like Listing</x:v>
      </x:c>
      <x:c r="D220" t="str">
        <x:v>https://example.com/listings/SYN-0219</x:v>
      </x:c>
      <x:c r="E220" t="str">
        <x:v>Second Hand</x:v>
      </x:c>
      <x:c r="F220" t="str"/>
      <x:c r="G220" t="str"/>
      <x:c r="H220" t="str">
        <x:v>Mosenzon 150, Tel Aviv</x:v>
      </x:c>
      <x:c r="I220" t="str">
        <x:v>Tel Aviv</x:v>
      </x:c>
      <x:c r="J220" t="str">
        <x:v>Kikar HaMedina / New North</x:v>
      </x:c>
      <x:c r="K220" s="14" t="n">
        <x:v>0.94</x:v>
      </x:c>
      <x:c r="L220" t="str">
        <x:v>Apartment</x:v>
      </x:c>
      <x:c r="M220" t="n">
        <x:v>2</x:v>
      </x:c>
      <x:c r="N220" s="16" t="n">
        <x:v>56.2</x:v>
      </x:c>
      <x:c r="O220" t="n">
        <x:v>11</x:v>
      </x:c>
      <x:c r="P220" t="n">
        <x:v>16</x:v>
      </x:c>
      <x:c r="Q220" s="18" t="n">
        <x:v>4100000</x:v>
      </x:c>
      <x:c r="R220" s="18" t="n">
        <x:f>IFERROR(Q220/N220,"")</x:f>
        <x:v>72953.73665480426</x:v>
      </x:c>
      <x:c r="S220" t="n">
        <x:v>1975</x:v>
      </x:c>
      <x:c r="T220" t="n">
        <x:v>51</x:v>
      </x:c>
      <x:c r="U220" t="str">
        <x:v>Good</x:v>
      </x:c>
      <x:c r="V220" s="16" t="n">
        <x:v>18.2</x:v>
      </x:c>
      <x:c r="W220" t="str">
        <x:v>West</x:v>
      </x:c>
      <x:c r="X220" t="n">
        <x:v>1</x:v>
      </x:c>
      <x:c r="Y220" s="16" t="n">
        <x:v>7.7</x:v>
      </x:c>
      <x:c r="Z220" s="1" t="b">
        <x:v>0</x:v>
      </x:c>
      <x:c r="AA220" t="str">
        <x:v>West, North</x:v>
      </x:c>
      <x:c r="AB220" s="16" t="n">
        <x:v>0</x:v>
      </x:c>
      <x:c r="AC220" s="16" t="n">
        <x:v>0</x:v>
      </x:c>
      <x:c r="AD220" s="1" t="b">
        <x:v>0</x:v>
      </x:c>
    </x:row>
    <x:row r="221">
      <x:c r="A221" t="str">
        <x:v>SYN-0220</x:v>
      </x:c>
      <x:c r="B221" s="12" t="n">
        <x:v>46239</x:v>
      </x:c>
      <x:c r="C221" t="str">
        <x:v>Synthetic Yad2-like Listing</x:v>
      </x:c>
      <x:c r="D221" t="str">
        <x:v>https://example.com/listings/SYN-0220</x:v>
      </x:c>
      <x:c r="E221" t="str">
        <x:v>Second Hand</x:v>
      </x:c>
      <x:c r="F221" t="str"/>
      <x:c r="G221" t="str"/>
      <x:c r="H221" t="str">
        <x:v>Pinkas 180, Tel Aviv</x:v>
      </x:c>
      <x:c r="I221" t="str">
        <x:v>Tel Aviv</x:v>
      </x:c>
      <x:c r="J221" t="str">
        <x:v>Kikar HaMedina / New North</x:v>
      </x:c>
      <x:c r="K221" s="14" t="n">
        <x:v>0.46</x:v>
      </x:c>
      <x:c r="L221" t="str">
        <x:v>Apartment</x:v>
      </x:c>
      <x:c r="M221" t="n">
        <x:v>4</x:v>
      </x:c>
      <x:c r="N221" s="16" t="n">
        <x:v>91.1</x:v>
      </x:c>
      <x:c r="O221" t="n">
        <x:v>12</x:v>
      </x:c>
      <x:c r="P221" t="n">
        <x:v>13</x:v>
      </x:c>
      <x:c r="Q221" s="18" t="n">
        <x:v>6010000</x:v>
      </x:c>
      <x:c r="R221" s="18" t="n">
        <x:f>IFERROR(Q221/N221,"")</x:f>
        <x:v>65971.45993413831</x:v>
      </x:c>
      <x:c r="S221" t="n">
        <x:v>1963</x:v>
      </x:c>
      <x:c r="T221" t="n">
        <x:v>63</x:v>
      </x:c>
      <x:c r="U221" t="str">
        <x:v>Renovated</x:v>
      </x:c>
      <x:c r="V221" s="16" t="n">
        <x:v>0</x:v>
      </x:c>
      <x:c r="W221" t="str"/>
      <x:c r="X221" t="n">
        <x:v>1</x:v>
      </x:c>
      <x:c r="Y221" s="16" t="n">
        <x:v>0</x:v>
      </x:c>
      <x:c r="Z221" s="1" t="b">
        <x:v>1</x:v>
      </x:c>
      <x:c r="AA221" t="str">
        <x:v>North-South</x:v>
      </x:c>
      <x:c r="AB221" s="16" t="n">
        <x:v>0</x:v>
      </x:c>
      <x:c r="AC221" s="16" t="n">
        <x:v>0</x:v>
      </x:c>
      <x:c r="AD221" s="1" t="b">
        <x:v>1</x:v>
      </x:c>
    </x:row>
    <x:row r="222">
      <x:c r="A222" t="str">
        <x:v>SYN-0221</x:v>
      </x:c>
      <x:c r="B222" s="12" t="n">
        <x:v>46239</x:v>
      </x:c>
      <x:c r="C222" t="str">
        <x:v>Synthetic Yad2-like Listing</x:v>
      </x:c>
      <x:c r="D222" t="str">
        <x:v>https://example.com/listings/SYN-0221</x:v>
      </x:c>
      <x:c r="E222" t="str">
        <x:v>Second Hand</x:v>
      </x:c>
      <x:c r="F222" t="str"/>
      <x:c r="G222" t="str"/>
      <x:c r="H222" t="str">
        <x:v>Lissin 90, Tel Aviv</x:v>
      </x:c>
      <x:c r="I222" t="str">
        <x:v>Tel Aviv</x:v>
      </x:c>
      <x:c r="J222" t="str">
        <x:v>Kikar HaMedina / New North</x:v>
      </x:c>
      <x:c r="K222" s="14" t="n">
        <x:v>0.67</x:v>
      </x:c>
      <x:c r="L222" t="str">
        <x:v>Duplex</x:v>
      </x:c>
      <x:c r="M222" t="n">
        <x:v>4</x:v>
      </x:c>
      <x:c r="N222" s="16" t="n">
        <x:v>104.1</x:v>
      </x:c>
      <x:c r="O222" t="n">
        <x:v>7</x:v>
      </x:c>
      <x:c r="P222" t="n">
        <x:v>11</x:v>
      </x:c>
      <x:c r="Q222" s="18" t="n">
        <x:v>7210000</x:v>
      </x:c>
      <x:c r="R222" s="18" t="n">
        <x:f>IFERROR(Q222/N222,"")</x:f>
        <x:v>69260.32660902978</x:v>
      </x:c>
      <x:c r="S222" t="n">
        <x:v>1978</x:v>
      </x:c>
      <x:c r="T222" t="n">
        <x:v>48</x:v>
      </x:c>
      <x:c r="U222" t="str">
        <x:v>Good</x:v>
      </x:c>
      <x:c r="V222" s="16" t="n">
        <x:v>19.6</x:v>
      </x:c>
      <x:c r="W222" t="str">
        <x:v>North-East</x:v>
      </x:c>
      <x:c r="X222" t="n">
        <x:v>0</x:v>
      </x:c>
      <x:c r="Y222" s="16" t="n">
        <x:v>0</x:v>
      </x:c>
      <x:c r="Z222" s="1" t="b">
        <x:v>1</x:v>
      </x:c>
      <x:c r="AA222" t="str">
        <x:v>North-East</x:v>
      </x:c>
      <x:c r="AB222" s="16" t="n">
        <x:v>0</x:v>
      </x:c>
      <x:c r="AC222" s="16" t="n">
        <x:v>0</x:v>
      </x:c>
      <x:c r="AD222" s="1" t="b">
        <x:v>0</x:v>
      </x:c>
    </x:row>
    <x:row r="223">
      <x:c r="A223" t="str">
        <x:v>SYN-0222</x:v>
      </x:c>
      <x:c r="B223" s="12" t="n">
        <x:v>46247</x:v>
      </x:c>
      <x:c r="C223" t="str">
        <x:v>Synthetic New-Project Listing</x:v>
      </x:c>
      <x:c r="D223" t="str">
        <x:v>https://example.com/listings/SYN-0222</x:v>
      </x:c>
      <x:c r="E223" t="str">
        <x:v>New Project</x:v>
      </x:c>
      <x:c r="F223" t="str">
        <x:v>Helsinki Gardens</x:v>
      </x:c>
      <x:c r="G223" t="str">
        <x:v>Sample Development C</x:v>
      </x:c>
      <x:c r="H223" t="str">
        <x:v>Epstein 62, Tel Aviv</x:v>
      </x:c>
      <x:c r="I223" t="str">
        <x:v>Tel Aviv</x:v>
      </x:c>
      <x:c r="J223" t="str">
        <x:v>Kikar HaMedina / New North</x:v>
      </x:c>
      <x:c r="K223" s="14" t="n">
        <x:v>0.9</x:v>
      </x:c>
      <x:c r="L223" t="str">
        <x:v>Apartment</x:v>
      </x:c>
      <x:c r="M223" t="n">
        <x:v>4</x:v>
      </x:c>
      <x:c r="N223" s="16" t="n">
        <x:v>97</x:v>
      </x:c>
      <x:c r="O223" t="n">
        <x:v>4</x:v>
      </x:c>
      <x:c r="P223" t="n">
        <x:v>13</x:v>
      </x:c>
      <x:c r="Q223" s="18" t="n">
        <x:v>7520000</x:v>
      </x:c>
      <x:c r="R223" s="18" t="n">
        <x:f>IFERROR(Q223/N223,"")</x:f>
        <x:v>77525.77319587629</x:v>
      </x:c>
      <x:c r="S223" t="n">
        <x:v>2027</x:v>
      </x:c>
      <x:c r="T223" t="n">
        <x:v>0</x:v>
      </x:c>
      <x:c r="U223" t="str">
        <x:v>New</x:v>
      </x:c>
      <x:c r="V223" s="16" t="n">
        <x:v>18.2</x:v>
      </x:c>
      <x:c r="W223" t="str">
        <x:v>South-East</x:v>
      </x:c>
      <x:c r="X223" t="n">
        <x:v>1</x:v>
      </x:c>
      <x:c r="Y223" s="16" t="n">
        <x:v>0</x:v>
      </x:c>
      <x:c r="Z223" s="1" t="b">
        <x:v>1</x:v>
      </x:c>
      <x:c r="AA223" t="str">
        <x:v>South-East, East</x:v>
      </x:c>
      <x:c r="AB223" s="16" t="n">
        <x:v>0</x:v>
      </x:c>
      <x:c r="AC223" s="16" t="n">
        <x:v>0</x:v>
      </x:c>
      <x:c r="AD223" s="1" t="b">
        <x:v>0</x:v>
      </x:c>
    </x:row>
    <x:row r="224">
      <x:c r="A224" t="str">
        <x:v>SYN-0223</x:v>
      </x:c>
      <x:c r="B224" s="12" t="n">
        <x:v>46220</x:v>
      </x:c>
      <x:c r="C224" t="str">
        <x:v>Synthetic Yad2-like Listing</x:v>
      </x:c>
      <x:c r="D224" t="str">
        <x:v>https://example.com/listings/SYN-0223</x:v>
      </x:c>
      <x:c r="E224" t="str">
        <x:v>Second Hand</x:v>
      </x:c>
      <x:c r="F224" t="str"/>
      <x:c r="G224" t="str"/>
      <x:c r="H224" t="str">
        <x:v>Lissin 165, Tel Aviv</x:v>
      </x:c>
      <x:c r="I224" t="str">
        <x:v>Tel Aviv</x:v>
      </x:c>
      <x:c r="J224" t="str">
        <x:v>Kikar HaMedina / New North</x:v>
      </x:c>
      <x:c r="K224" s="14" t="n">
        <x:v>0.66</x:v>
      </x:c>
      <x:c r="L224" t="str">
        <x:v>Apartment</x:v>
      </x:c>
      <x:c r="M224" t="n">
        <x:v>4</x:v>
      </x:c>
      <x:c r="N224" s="16" t="n">
        <x:v>100.3</x:v>
      </x:c>
      <x:c r="O224" t="n">
        <x:v>5</x:v>
      </x:c>
      <x:c r="P224" t="n">
        <x:v>12</x:v>
      </x:c>
      <x:c r="Q224" s="18" t="n">
        <x:v>7180000</x:v>
      </x:c>
      <x:c r="R224" s="18" t="n">
        <x:f>IFERROR(Q224/N224,"")</x:f>
        <x:v>71585.2442671984</x:v>
      </x:c>
      <x:c r="S224" t="n">
        <x:v>1962</x:v>
      </x:c>
      <x:c r="T224" t="n">
        <x:v>64</x:v>
      </x:c>
      <x:c r="U224" t="str">
        <x:v>Renovated</x:v>
      </x:c>
      <x:c r="V224" s="16" t="n">
        <x:v>16.4</x:v>
      </x:c>
      <x:c r="W224" t="str">
        <x:v>South</x:v>
      </x:c>
      <x:c r="X224" t="n">
        <x:v>1</x:v>
      </x:c>
      <x:c r="Y224" s="16" t="n">
        <x:v>0</x:v>
      </x:c>
      <x:c r="Z224" s="1" t="b">
        <x:v>1</x:v>
      </x:c>
      <x:c r="AA224" t="str">
        <x:v>South</x:v>
      </x:c>
      <x:c r="AB224" s="16" t="n">
        <x:v>0</x:v>
      </x:c>
      <x:c r="AC224" s="16" t="n">
        <x:v>0</x:v>
      </x:c>
      <x:c r="AD224" s="1" t="b">
        <x:v>0</x:v>
      </x:c>
    </x:row>
    <x:row r="225">
      <x:c r="A225" t="str">
        <x:v>SYN-0224</x:v>
      </x:c>
      <x:c r="B225" s="12" t="n">
        <x:v>46223</x:v>
      </x:c>
      <x:c r="C225" t="str">
        <x:v>Synthetic New-Project Listing</x:v>
      </x:c>
      <x:c r="D225" t="str">
        <x:v>https://example.com/listings/SYN-0224</x:v>
      </x:c>
      <x:c r="E225" t="str">
        <x:v>New Project</x:v>
      </x:c>
      <x:c r="F225" t="str">
        <x:v>Medina Boutique</x:v>
      </x:c>
      <x:c r="G225" t="str">
        <x:v>Sample Development E</x:v>
      </x:c>
      <x:c r="H225" t="str">
        <x:v>Biltmore 95, Tel Aviv</x:v>
      </x:c>
      <x:c r="I225" t="str">
        <x:v>Tel Aviv</x:v>
      </x:c>
      <x:c r="J225" t="str">
        <x:v>Kikar HaMedina / New North</x:v>
      </x:c>
      <x:c r="K225" s="14" t="n">
        <x:v>0.92</x:v>
      </x:c>
      <x:c r="L225" t="str">
        <x:v>Apartment</x:v>
      </x:c>
      <x:c r="M225" t="n">
        <x:v>3</x:v>
      </x:c>
      <x:c r="N225" s="16" t="n">
        <x:v>81.5</x:v>
      </x:c>
      <x:c r="O225" t="n">
        <x:v>0</x:v>
      </x:c>
      <x:c r="P225" t="n">
        <x:v>18</x:v>
      </x:c>
      <x:c r="Q225" s="18" t="n">
        <x:v>6430000</x:v>
      </x:c>
      <x:c r="R225" s="18" t="n">
        <x:f>IFERROR(Q225/N225,"")</x:f>
        <x:v>78895.7055214724</x:v>
      </x:c>
      <x:c r="S225" t="n">
        <x:v>2026</x:v>
      </x:c>
      <x:c r="T225" t="n">
        <x:v>0</x:v>
      </x:c>
      <x:c r="U225" t="str">
        <x:v>New</x:v>
      </x:c>
      <x:c r="V225" s="16" t="n">
        <x:v>0</x:v>
      </x:c>
      <x:c r="W225" t="str"/>
      <x:c r="X225" t="n">
        <x:v>1</x:v>
      </x:c>
      <x:c r="Y225" s="16" t="n">
        <x:v>7.5</x:v>
      </x:c>
      <x:c r="Z225" s="1" t="b">
        <x:v>1</x:v>
      </x:c>
      <x:c r="AA225" t="str">
        <x:v>North-South</x:v>
      </x:c>
      <x:c r="AB225" s="16" t="n">
        <x:v>0</x:v>
      </x:c>
      <x:c r="AC225" s="16" t="n">
        <x:v>0</x:v>
      </x:c>
      <x:c r="AD225" s="1" t="b">
        <x:v>0</x:v>
      </x:c>
    </x:row>
    <x:row r="226">
      <x:c r="A226" t="str">
        <x:v>SYN-0225</x:v>
      </x:c>
      <x:c r="B226" s="12" t="n">
        <x:v>46215</x:v>
      </x:c>
      <x:c r="C226" t="str">
        <x:v>Synthetic New-Project Listing</x:v>
      </x:c>
      <x:c r="D226" t="str">
        <x:v>https://example.com/listings/SYN-0225</x:v>
      </x:c>
      <x:c r="E226" t="str">
        <x:v>New Project</x:v>
      </x:c>
      <x:c r="F226" t="str">
        <x:v>Medina Boutique</x:v>
      </x:c>
      <x:c r="G226" t="str">
        <x:v>Sample Development E</x:v>
      </x:c>
      <x:c r="H226" t="str">
        <x:v>Biltmore 148, Tel Aviv</x:v>
      </x:c>
      <x:c r="I226" t="str">
        <x:v>Tel Aviv</x:v>
      </x:c>
      <x:c r="J226" t="str">
        <x:v>Kikar HaMedina / New North</x:v>
      </x:c>
      <x:c r="K226" s="14" t="n">
        <x:v>0.9</x:v>
      </x:c>
      <x:c r="L226" t="str">
        <x:v>Apartment</x:v>
      </x:c>
      <x:c r="M226" t="n">
        <x:v>3</x:v>
      </x:c>
      <x:c r="N226" s="16" t="n">
        <x:v>76.9</x:v>
      </x:c>
      <x:c r="O226" t="n">
        <x:v>1</x:v>
      </x:c>
      <x:c r="P226" t="n">
        <x:v>15</x:v>
      </x:c>
      <x:c r="Q226" s="18" t="n">
        <x:v>5890000</x:v>
      </x:c>
      <x:c r="R226" s="18" t="n">
        <x:f>IFERROR(Q226/N226,"")</x:f>
        <x:v>76592.977893368</x:v>
      </x:c>
      <x:c r="S226" t="n">
        <x:v>2027</x:v>
      </x:c>
      <x:c r="T226" t="n">
        <x:v>0</x:v>
      </x:c>
      <x:c r="U226" t="str">
        <x:v>New</x:v>
      </x:c>
      <x:c r="V226" s="16" t="n">
        <x:v>11.1</x:v>
      </x:c>
      <x:c r="W226" t="str">
        <x:v>West</x:v>
      </x:c>
      <x:c r="X226" t="n">
        <x:v>1</x:v>
      </x:c>
      <x:c r="Y226" s="16" t="n">
        <x:v>0</x:v>
      </x:c>
      <x:c r="Z226" s="1" t="b">
        <x:v>1</x:v>
      </x:c>
      <x:c r="AA226" t="str">
        <x:v>West, South</x:v>
      </x:c>
      <x:c r="AB226" s="16" t="n">
        <x:v>0</x:v>
      </x:c>
      <x:c r="AC226" s="16" t="n">
        <x:v>0</x:v>
      </x:c>
      <x:c r="AD226" s="1" t="b">
        <x:v>0</x:v>
      </x:c>
    </x:row>
    <x:row r="227">
      <x:c r="A227" t="str">
        <x:v>SYN-0226</x:v>
      </x:c>
      <x:c r="B227" s="12" t="n">
        <x:v>46232</x:v>
      </x:c>
      <x:c r="C227" t="str">
        <x:v>Synthetic Yad2-like Listing</x:v>
      </x:c>
      <x:c r="D227" t="str">
        <x:v>https://example.com/listings/SYN-0226</x:v>
      </x:c>
      <x:c r="E227" t="str">
        <x:v>Second Hand</x:v>
      </x:c>
      <x:c r="F227" t="str"/>
      <x:c r="G227" t="str"/>
      <x:c r="H227" t="str">
        <x:v>Epstein 140, Tel Aviv</x:v>
      </x:c>
      <x:c r="I227" t="str">
        <x:v>Tel Aviv</x:v>
      </x:c>
      <x:c r="J227" t="str">
        <x:v>Kikar HaMedina / New North</x:v>
      </x:c>
      <x:c r="K227" s="14" t="n">
        <x:v>0.71</x:v>
      </x:c>
      <x:c r="L227" t="str">
        <x:v>Apartment</x:v>
      </x:c>
      <x:c r="M227" t="n">
        <x:v>4</x:v>
      </x:c>
      <x:c r="N227" s="16" t="n">
        <x:v>101.2</x:v>
      </x:c>
      <x:c r="O227" t="n">
        <x:v>8</x:v>
      </x:c>
      <x:c r="P227" t="n">
        <x:v>18</x:v>
      </x:c>
      <x:c r="Q227" s="18" t="n">
        <x:v>6530000</x:v>
      </x:c>
      <x:c r="R227" s="18" t="n">
        <x:f>IFERROR(Q227/N227,"")</x:f>
        <x:v>64525.691699604744</x:v>
      </x:c>
      <x:c r="S227" t="n">
        <x:v>1980</x:v>
      </x:c>
      <x:c r="T227" t="n">
        <x:v>46</x:v>
      </x:c>
      <x:c r="U227" t="str">
        <x:v>Good</x:v>
      </x:c>
      <x:c r="V227" s="16" t="n">
        <x:v>13</x:v>
      </x:c>
      <x:c r="W227" t="str">
        <x:v>North-West</x:v>
      </x:c>
      <x:c r="X227" t="n">
        <x:v>0</x:v>
      </x:c>
      <x:c r="Y227" s="16" t="n">
        <x:v>7.4</x:v>
      </x:c>
      <x:c r="Z227" s="1" t="b">
        <x:v>1</x:v>
      </x:c>
      <x:c r="AA227" t="str">
        <x:v>North-West, East</x:v>
      </x:c>
      <x:c r="AB227" s="16" t="n">
        <x:v>0</x:v>
      </x:c>
      <x:c r="AC227" s="16" t="n">
        <x:v>0</x:v>
      </x:c>
      <x:c r="AD227" s="1" t="b">
        <x:v>0</x:v>
      </x:c>
    </x:row>
    <x:row r="228">
      <x:c r="A228" t="str">
        <x:v>SYN-0227</x:v>
      </x:c>
      <x:c r="B228" s="12" t="n">
        <x:v>46212</x:v>
      </x:c>
      <x:c r="C228" t="str">
        <x:v>Synthetic Yad2-like Listing</x:v>
      </x:c>
      <x:c r="D228" t="str">
        <x:v>https://example.com/listings/SYN-0227</x:v>
      </x:c>
      <x:c r="E228" t="str">
        <x:v>Second Hand</x:v>
      </x:c>
      <x:c r="F228" t="str"/>
      <x:c r="G228" t="str"/>
      <x:c r="H228" t="str">
        <x:v>Bavli 147, Tel Aviv</x:v>
      </x:c>
      <x:c r="I228" t="str">
        <x:v>Tel Aviv</x:v>
      </x:c>
      <x:c r="J228" t="str">
        <x:v>Kikar HaMedina / New North</x:v>
      </x:c>
      <x:c r="K228" s="14" t="n">
        <x:v>0.83</x:v>
      </x:c>
      <x:c r="L228" t="str">
        <x:v>Duplex</x:v>
      </x:c>
      <x:c r="M228" t="n">
        <x:v>3</x:v>
      </x:c>
      <x:c r="N228" s="16" t="n">
        <x:v>81.7</x:v>
      </x:c>
      <x:c r="O228" t="n">
        <x:v>4</x:v>
      </x:c>
      <x:c r="P228" t="n">
        <x:v>14</x:v>
      </x:c>
      <x:c r="Q228" s="18" t="n">
        <x:v>5930000</x:v>
      </x:c>
      <x:c r="R228" s="18" t="n">
        <x:f>IFERROR(Q228/N228,"")</x:f>
        <x:v>72582.61933904528</x:v>
      </x:c>
      <x:c r="S228" t="n">
        <x:v>2012</x:v>
      </x:c>
      <x:c r="T228" t="n">
        <x:v>14</x:v>
      </x:c>
      <x:c r="U228" t="str">
        <x:v>Needs Renovation</x:v>
      </x:c>
      <x:c r="V228" s="16" t="n">
        <x:v>22.2</x:v>
      </x:c>
      <x:c r="W228" t="str">
        <x:v>North</x:v>
      </x:c>
      <x:c r="X228" t="n">
        <x:v>1</x:v>
      </x:c>
      <x:c r="Y228" s="16" t="n">
        <x:v>9</x:v>
      </x:c>
      <x:c r="Z228" s="1" t="b">
        <x:v>1</x:v>
      </x:c>
      <x:c r="AA228" t="str">
        <x:v>North, South</x:v>
      </x:c>
      <x:c r="AB228" s="16" t="n">
        <x:v>0</x:v>
      </x:c>
      <x:c r="AC228" s="16" t="n">
        <x:v>0</x:v>
      </x:c>
      <x:c r="AD228" s="1" t="b">
        <x:v>0</x:v>
      </x:c>
    </x:row>
    <x:row r="229">
      <x:c r="A229" t="str">
        <x:v>SYN-0228</x:v>
      </x:c>
      <x:c r="B229" s="12" t="n">
        <x:v>46207</x:v>
      </x:c>
      <x:c r="C229" t="str">
        <x:v>Synthetic New-Project Listing</x:v>
      </x:c>
      <x:c r="D229" t="str">
        <x:v>https://example.com/listings/SYN-0228</x:v>
      </x:c>
      <x:c r="E229" t="str">
        <x:v>New Project</x:v>
      </x:c>
      <x:c r="F229" t="str">
        <x:v>North TLV Living</x:v>
      </x:c>
      <x:c r="G229" t="str">
        <x:v>Sample Development D</x:v>
      </x:c>
      <x:c r="H229" t="str">
        <x:v>Epstein 25, Tel Aviv</x:v>
      </x:c>
      <x:c r="I229" t="str">
        <x:v>Tel Aviv</x:v>
      </x:c>
      <x:c r="J229" t="str">
        <x:v>Kikar HaMedina / New North</x:v>
      </x:c>
      <x:c r="K229" s="14" t="n">
        <x:v>0.8</x:v>
      </x:c>
      <x:c r="L229" t="str">
        <x:v>Apartment</x:v>
      </x:c>
      <x:c r="M229" t="n">
        <x:v>5</x:v>
      </x:c>
      <x:c r="N229" s="16" t="n">
        <x:v>118.5</x:v>
      </x:c>
      <x:c r="O229" t="n">
        <x:v>4</x:v>
      </x:c>
      <x:c r="P229" t="n">
        <x:v>17</x:v>
      </x:c>
      <x:c r="Q229" s="18" t="n">
        <x:v>9150000</x:v>
      </x:c>
      <x:c r="R229" s="18" t="n">
        <x:f>IFERROR(Q229/N229,"")</x:f>
        <x:v>77215.18987341772</x:v>
      </x:c>
      <x:c r="S229" t="n">
        <x:v>2025</x:v>
      </x:c>
      <x:c r="T229" t="n">
        <x:v>1</x:v>
      </x:c>
      <x:c r="U229" t="str">
        <x:v>New</x:v>
      </x:c>
      <x:c r="V229" s="16" t="n">
        <x:v>21.7</x:v>
      </x:c>
      <x:c r="W229" t="str">
        <x:v>West</x:v>
      </x:c>
      <x:c r="X229" t="n">
        <x:v>1</x:v>
      </x:c>
      <x:c r="Y229" s="16" t="n">
        <x:v>0</x:v>
      </x:c>
      <x:c r="Z229" s="1" t="b">
        <x:v>1</x:v>
      </x:c>
      <x:c r="AA229" t="str">
        <x:v>West</x:v>
      </x:c>
      <x:c r="AB229" s="16" t="n">
        <x:v>0</x:v>
      </x:c>
      <x:c r="AC229" s="16" t="n">
        <x:v>0</x:v>
      </x:c>
      <x:c r="AD229" s="1" t="b">
        <x:v>0</x:v>
      </x:c>
    </x:row>
    <x:row r="230">
      <x:c r="A230" t="str">
        <x:v>SYN-0229</x:v>
      </x:c>
      <x:c r="B230" s="12" t="n">
        <x:v>46232</x:v>
      </x:c>
      <x:c r="C230" t="str">
        <x:v>Synthetic Yad2-like Listing</x:v>
      </x:c>
      <x:c r="D230" t="str">
        <x:v>https://example.com/listings/SYN-0229</x:v>
      </x:c>
      <x:c r="E230" t="str">
        <x:v>Second Hand</x:v>
      </x:c>
      <x:c r="F230" t="str"/>
      <x:c r="G230" t="str"/>
      <x:c r="H230" t="str">
        <x:v>Klay 179, Tel Aviv</x:v>
      </x:c>
      <x:c r="I230" t="str">
        <x:v>Tel Aviv</x:v>
      </x:c>
      <x:c r="J230" t="str">
        <x:v>Kikar HaMedina / New North</x:v>
      </x:c>
      <x:c r="K230" s="14" t="n">
        <x:v>0.53</x:v>
      </x:c>
      <x:c r="L230" t="str">
        <x:v>Apartment</x:v>
      </x:c>
      <x:c r="M230" t="n">
        <x:v>3</x:v>
      </x:c>
      <x:c r="N230" s="16" t="n">
        <x:v>85.2</x:v>
      </x:c>
      <x:c r="O230" t="n">
        <x:v>6</x:v>
      </x:c>
      <x:c r="P230" t="n">
        <x:v>13</x:v>
      </x:c>
      <x:c r="Q230" s="18" t="n">
        <x:v>6210000</x:v>
      </x:c>
      <x:c r="R230" s="18" t="n">
        <x:f>IFERROR(Q230/N230,"")</x:f>
        <x:v>72887.32394366196</x:v>
      </x:c>
      <x:c r="S230" t="n">
        <x:v>1993</x:v>
      </x:c>
      <x:c r="T230" t="n">
        <x:v>33</x:v>
      </x:c>
      <x:c r="U230" t="str">
        <x:v>Renovated</x:v>
      </x:c>
      <x:c r="V230" s="16" t="n">
        <x:v>20.3</x:v>
      </x:c>
      <x:c r="W230" t="str">
        <x:v>North</x:v>
      </x:c>
      <x:c r="X230" t="n">
        <x:v>1</x:v>
      </x:c>
      <x:c r="Y230" s="16" t="n">
        <x:v>0</x:v>
      </x:c>
      <x:c r="Z230" s="1" t="b">
        <x:v>1</x:v>
      </x:c>
      <x:c r="AA230" t="str">
        <x:v>North, South</x:v>
      </x:c>
      <x:c r="AB230" s="16" t="n">
        <x:v>0</x:v>
      </x:c>
      <x:c r="AC230" s="16" t="n">
        <x:v>0</x:v>
      </x:c>
      <x:c r="AD230" s="1" t="b">
        <x:v>0</x:v>
      </x:c>
    </x:row>
    <x:row r="231">
      <x:c r="A231" t="str">
        <x:v>SYN-0230</x:v>
      </x:c>
      <x:c r="B231" s="12" t="n">
        <x:v>46239</x:v>
      </x:c>
      <x:c r="C231" t="str">
        <x:v>Synthetic Yad2-like Listing</x:v>
      </x:c>
      <x:c r="D231" t="str">
        <x:v>https://example.com/listings/SYN-0230</x:v>
      </x:c>
      <x:c r="E231" t="str">
        <x:v>Second Hand</x:v>
      </x:c>
      <x:c r="F231" t="str"/>
      <x:c r="G231" t="str"/>
      <x:c r="H231" t="str">
        <x:v>Pinkas 35, Tel Aviv</x:v>
      </x:c>
      <x:c r="I231" t="str">
        <x:v>Tel Aviv</x:v>
      </x:c>
      <x:c r="J231" t="str">
        <x:v>Kikar HaMedina / New North</x:v>
      </x:c>
      <x:c r="K231" s="14" t="n">
        <x:v>0.42</x:v>
      </x:c>
      <x:c r="L231" t="str">
        <x:v>Apartment</x:v>
      </x:c>
      <x:c r="M231" t="n">
        <x:v>4</x:v>
      </x:c>
      <x:c r="N231" s="16" t="n">
        <x:v>89.8</x:v>
      </x:c>
      <x:c r="O231" t="n">
        <x:v>6</x:v>
      </x:c>
      <x:c r="P231" t="n">
        <x:v>11</x:v>
      </x:c>
      <x:c r="Q231" s="18" t="n">
        <x:v>6370000</x:v>
      </x:c>
      <x:c r="R231" s="18" t="n">
        <x:f>IFERROR(Q231/N231,"")</x:f>
        <x:v>70935.41202672606</x:v>
      </x:c>
      <x:c r="S231" t="n">
        <x:v>1992</x:v>
      </x:c>
      <x:c r="T231" t="n">
        <x:v>34</x:v>
      </x:c>
      <x:c r="U231" t="str">
        <x:v>Good</x:v>
      </x:c>
      <x:c r="V231" s="16" t="n">
        <x:v>13.4</x:v>
      </x:c>
      <x:c r="W231" t="str">
        <x:v>South-West</x:v>
      </x:c>
      <x:c r="X231" t="n">
        <x:v>1</x:v>
      </x:c>
      <x:c r="Y231" s="16" t="n">
        <x:v>5.8</x:v>
      </x:c>
      <x:c r="Z231" s="1" t="b">
        <x:v>1</x:v>
      </x:c>
      <x:c r="AA231" t="str">
        <x:v>South-West</x:v>
      </x:c>
      <x:c r="AB231" s="16" t="n">
        <x:v>0</x:v>
      </x:c>
      <x:c r="AC231" s="16" t="n">
        <x:v>0</x:v>
      </x:c>
      <x:c r="AD231" s="1" t="b">
        <x:v>0</x:v>
      </x:c>
    </x:row>
    <x:row r="232">
      <x:c r="A232" t="str">
        <x:v>SYN-0231</x:v>
      </x:c>
      <x:c r="B232" s="12" t="n">
        <x:v>46206</x:v>
      </x:c>
      <x:c r="C232" t="str">
        <x:v>Synthetic Yad2-like Listing</x:v>
      </x:c>
      <x:c r="D232" t="str">
        <x:v>https://example.com/listings/SYN-0231</x:v>
      </x:c>
      <x:c r="E232" t="str">
        <x:v>Second Hand</x:v>
      </x:c>
      <x:c r="F232" t="str"/>
      <x:c r="G232" t="str"/>
      <x:c r="H232" t="str">
        <x:v>Helsinki 90, Tel Aviv</x:v>
      </x:c>
      <x:c r="I232" t="str">
        <x:v>Tel Aviv</x:v>
      </x:c>
      <x:c r="J232" t="str">
        <x:v>Kikar HaMedina / New North</x:v>
      </x:c>
      <x:c r="K232" s="14" t="n">
        <x:v>0.11</x:v>
      </x:c>
      <x:c r="L232" t="str">
        <x:v>Apartment</x:v>
      </x:c>
      <x:c r="M232" t="n">
        <x:v>4</x:v>
      </x:c>
      <x:c r="N232" s="16" t="n">
        <x:v>92.9</x:v>
      </x:c>
      <x:c r="O232" t="n">
        <x:v>1</x:v>
      </x:c>
      <x:c r="P232" t="n">
        <x:v>8</x:v>
      </x:c>
      <x:c r="Q232" s="18" t="n">
        <x:v>6580000</x:v>
      </x:c>
      <x:c r="R232" s="18" t="n">
        <x:f>IFERROR(Q232/N232,"")</x:f>
        <x:v>70828.84822389665</x:v>
      </x:c>
      <x:c r="S232" t="n">
        <x:v>1982</x:v>
      </x:c>
      <x:c r="T232" t="n">
        <x:v>44</x:v>
      </x:c>
      <x:c r="U232" t="str">
        <x:v>Good</x:v>
      </x:c>
      <x:c r="V232" s="16" t="n">
        <x:v>22.8</x:v>
      </x:c>
      <x:c r="W232" t="str">
        <x:v>South</x:v>
      </x:c>
      <x:c r="X232" t="n">
        <x:v>1</x:v>
      </x:c>
      <x:c r="Y232" s="16" t="n">
        <x:v>5.6</x:v>
      </x:c>
      <x:c r="Z232" s="1" t="b">
        <x:v>1</x:v>
      </x:c>
      <x:c r="AA232" t="str">
        <x:v>South, North</x:v>
      </x:c>
      <x:c r="AB232" s="16" t="n">
        <x:v>0</x:v>
      </x:c>
      <x:c r="AC232" s="16" t="n">
        <x:v>0</x:v>
      </x:c>
      <x:c r="AD232" s="1" t="b">
        <x:v>0</x:v>
      </x:c>
    </x:row>
    <x:row r="233">
      <x:c r="A233" t="str">
        <x:v>SYN-0232</x:v>
      </x:c>
      <x:c r="B233" s="12" t="n">
        <x:v>46251</x:v>
      </x:c>
      <x:c r="C233" t="str">
        <x:v>Synthetic Yad2-like Listing</x:v>
      </x:c>
      <x:c r="D233" t="str">
        <x:v>https://example.com/listings/SYN-0232</x:v>
      </x:c>
      <x:c r="E233" t="str">
        <x:v>Second Hand</x:v>
      </x:c>
      <x:c r="F233" t="str"/>
      <x:c r="G233" t="str"/>
      <x:c r="H233" t="str">
        <x:v>Mosenzon 178, Tel Aviv</x:v>
      </x:c>
      <x:c r="I233" t="str">
        <x:v>Tel Aviv</x:v>
      </x:c>
      <x:c r="J233" t="str">
        <x:v>Kikar HaMedina / New North</x:v>
      </x:c>
      <x:c r="K233" s="14" t="n">
        <x:v>0.75</x:v>
      </x:c>
      <x:c r="L233" t="str">
        <x:v>Apartment</x:v>
      </x:c>
      <x:c r="M233" t="n">
        <x:v>3</x:v>
      </x:c>
      <x:c r="N233" s="16" t="n">
        <x:v>80.8</x:v>
      </x:c>
      <x:c r="O233" t="n">
        <x:v>2</x:v>
      </x:c>
      <x:c r="P233" t="n">
        <x:v>16</x:v>
      </x:c>
      <x:c r="Q233" s="18" t="n">
        <x:v>5890000</x:v>
      </x:c>
      <x:c r="R233" s="18" t="n">
        <x:f>IFERROR(Q233/N233,"")</x:f>
        <x:v>72896.0396039604</x:v>
      </x:c>
      <x:c r="S233" t="n">
        <x:v>2012</x:v>
      </x:c>
      <x:c r="T233" t="n">
        <x:v>14</x:v>
      </x:c>
      <x:c r="U233" t="str">
        <x:v>Renovated</x:v>
      </x:c>
      <x:c r="V233" s="16" t="n">
        <x:v>19.8</x:v>
      </x:c>
      <x:c r="W233" t="str">
        <x:v>West</x:v>
      </x:c>
      <x:c r="X233" t="n">
        <x:v>0</x:v>
      </x:c>
      <x:c r="Y233" s="16" t="n">
        <x:v>0</x:v>
      </x:c>
      <x:c r="Z233" s="1" t="b">
        <x:v>1</x:v>
      </x:c>
      <x:c r="AA233" t="str">
        <x:v>West, East</x:v>
      </x:c>
      <x:c r="AB233" s="16" t="n">
        <x:v>0</x:v>
      </x:c>
      <x:c r="AC233" s="16" t="n">
        <x:v>0</x:v>
      </x:c>
      <x:c r="AD233" s="1" t="b">
        <x:v>0</x:v>
      </x:c>
    </x:row>
    <x:row r="234">
      <x:c r="A234" t="str">
        <x:v>SYN-0233</x:v>
      </x:c>
      <x:c r="B234" s="12" t="n">
        <x:v>46204</x:v>
      </x:c>
      <x:c r="C234" t="str">
        <x:v>Synthetic Yad2-like Listing</x:v>
      </x:c>
      <x:c r="D234" t="str">
        <x:v>https://example.com/listings/SYN-0233</x:v>
      </x:c>
      <x:c r="E234" t="str">
        <x:v>Second Hand</x:v>
      </x:c>
      <x:c r="F234" t="str"/>
      <x:c r="G234" t="str"/>
      <x:c r="H234" t="str">
        <x:v>Klay 73, Tel Aviv</x:v>
      </x:c>
      <x:c r="I234" t="str">
        <x:v>Tel Aviv</x:v>
      </x:c>
      <x:c r="J234" t="str">
        <x:v>Kikar HaMedina / New North</x:v>
      </x:c>
      <x:c r="K234" s="14" t="n">
        <x:v>0.65</x:v>
      </x:c>
      <x:c r="L234" t="str">
        <x:v>Apartment</x:v>
      </x:c>
      <x:c r="M234" t="n">
        <x:v>3</x:v>
      </x:c>
      <x:c r="N234" s="16" t="n">
        <x:v>77</x:v>
      </x:c>
      <x:c r="O234" t="n">
        <x:v>4</x:v>
      </x:c>
      <x:c r="P234" t="n">
        <x:v>13</x:v>
      </x:c>
      <x:c r="Q234" s="18" t="n">
        <x:v>4810000</x:v>
      </x:c>
      <x:c r="R234" s="18" t="n">
        <x:f>IFERROR(Q234/N234,"")</x:f>
        <x:v>62467.53246753247</x:v>
      </x:c>
      <x:c r="S234" t="n">
        <x:v>1997</x:v>
      </x:c>
      <x:c r="T234" t="n">
        <x:v>29</x:v>
      </x:c>
      <x:c r="U234" t="str">
        <x:v>Needs Renovation</x:v>
      </x:c>
      <x:c r="V234" s="16" t="n">
        <x:v>0</x:v>
      </x:c>
      <x:c r="W234" t="str"/>
      <x:c r="X234" t="n">
        <x:v>1</x:v>
      </x:c>
      <x:c r="Y234" s="16" t="n">
        <x:v>0</x:v>
      </x:c>
      <x:c r="Z234" s="1" t="b">
        <x:v>1</x:v>
      </x:c>
      <x:c r="AA234" t="str">
        <x:v>North-East</x:v>
      </x:c>
      <x:c r="AB234" s="16" t="n">
        <x:v>0</x:v>
      </x:c>
      <x:c r="AC234" s="16" t="n">
        <x:v>0</x:v>
      </x:c>
      <x:c r="AD234" s="1" t="b">
        <x:v>0</x:v>
      </x:c>
    </x:row>
    <x:row r="235">
      <x:c r="A235" t="str">
        <x:v>SYN-0234</x:v>
      </x:c>
      <x:c r="B235" s="12" t="n">
        <x:v>46205</x:v>
      </x:c>
      <x:c r="C235" t="str">
        <x:v>Synthetic New-Project Listing</x:v>
      </x:c>
      <x:c r="D235" t="str">
        <x:v>https://example.com/listings/SYN-0234</x:v>
      </x:c>
      <x:c r="E235" t="str">
        <x:v>New Project</x:v>
      </x:c>
      <x:c r="F235" t="str">
        <x:v>Helsinki Gardens</x:v>
      </x:c>
      <x:c r="G235" t="str">
        <x:v>Sample Development C</x:v>
      </x:c>
      <x:c r="H235" t="str">
        <x:v>Lissin 153, Tel Aviv</x:v>
      </x:c>
      <x:c r="I235" t="str">
        <x:v>Tel Aviv</x:v>
      </x:c>
      <x:c r="J235" t="str">
        <x:v>Kikar HaMedina / New North</x:v>
      </x:c>
      <x:c r="K235" s="14" t="n">
        <x:v>0.66</x:v>
      </x:c>
      <x:c r="L235" t="str">
        <x:v>Apartment</x:v>
      </x:c>
      <x:c r="M235" t="n">
        <x:v>4</x:v>
      </x:c>
      <x:c r="N235" s="16" t="n">
        <x:v>101.3</x:v>
      </x:c>
      <x:c r="O235" t="n">
        <x:v>10</x:v>
      </x:c>
      <x:c r="P235" t="n">
        <x:v>16</x:v>
      </x:c>
      <x:c r="Q235" s="18" t="n">
        <x:v>8640000</x:v>
      </x:c>
      <x:c r="R235" s="18" t="n">
        <x:f>IFERROR(Q235/N235,"")</x:f>
        <x:v>85291.21421520237</x:v>
      </x:c>
      <x:c r="S235" t="n">
        <x:v>2025</x:v>
      </x:c>
      <x:c r="T235" t="n">
        <x:v>1</x:v>
      </x:c>
      <x:c r="U235" t="str">
        <x:v>New</x:v>
      </x:c>
      <x:c r="V235" s="16" t="n">
        <x:v>21.9</x:v>
      </x:c>
      <x:c r="W235" t="str">
        <x:v>South-East</x:v>
      </x:c>
      <x:c r="X235" t="n">
        <x:v>1</x:v>
      </x:c>
      <x:c r="Y235" s="16" t="n">
        <x:v>9.8</x:v>
      </x:c>
      <x:c r="Z235" s="1" t="b">
        <x:v>1</x:v>
      </x:c>
      <x:c r="AA235" t="str">
        <x:v>South-East</x:v>
      </x:c>
      <x:c r="AB235" s="16" t="n">
        <x:v>0</x:v>
      </x:c>
      <x:c r="AC235" s="16" t="n">
        <x:v>0</x:v>
      </x:c>
      <x:c r="AD235" s="1" t="b">
        <x:v>0</x:v>
      </x:c>
    </x:row>
    <x:row r="236">
      <x:c r="A236" t="str">
        <x:v>SYN-0235</x:v>
      </x:c>
      <x:c r="B236" s="12" t="n">
        <x:v>46212</x:v>
      </x:c>
      <x:c r="C236" t="str">
        <x:v>Synthetic New-Project Listing</x:v>
      </x:c>
      <x:c r="D236" t="str">
        <x:v>https://example.com/listings/SYN-0235</x:v>
      </x:c>
      <x:c r="E236" t="str">
        <x:v>New Project</x:v>
      </x:c>
      <x:c r="F236" t="str">
        <x:v>Helsinki Gardens</x:v>
      </x:c>
      <x:c r="G236" t="str">
        <x:v>Sample Development C</x:v>
      </x:c>
      <x:c r="H236" t="str">
        <x:v>Helsinki 8, Tel Aviv</x:v>
      </x:c>
      <x:c r="I236" t="str">
        <x:v>Tel Aviv</x:v>
      </x:c>
      <x:c r="J236" t="str">
        <x:v>Kikar HaMedina / New North</x:v>
      </x:c>
      <x:c r="K236" s="14" t="n">
        <x:v>0.05</x:v>
      </x:c>
      <x:c r="L236" t="str">
        <x:v>Apartment</x:v>
      </x:c>
      <x:c r="M236" t="n">
        <x:v>5</x:v>
      </x:c>
      <x:c r="N236" s="16" t="n">
        <x:v>119.9</x:v>
      </x:c>
      <x:c r="O236" t="n">
        <x:v>7</x:v>
      </x:c>
      <x:c r="P236" t="n">
        <x:v>14</x:v>
      </x:c>
      <x:c r="Q236" s="18" t="n">
        <x:v>10160000</x:v>
      </x:c>
      <x:c r="R236" s="18" t="n">
        <x:f>IFERROR(Q236/N236,"")</x:f>
        <x:v>84737.2810675563</x:v>
      </x:c>
      <x:c r="S236" t="n">
        <x:v>2027</x:v>
      </x:c>
      <x:c r="T236" t="n">
        <x:v>0</x:v>
      </x:c>
      <x:c r="U236" t="str">
        <x:v>New</x:v>
      </x:c>
      <x:c r="V236" s="16" t="n">
        <x:v>24.4</x:v>
      </x:c>
      <x:c r="W236" t="str">
        <x:v>North-West</x:v>
      </x:c>
      <x:c r="X236" t="n">
        <x:v>2</x:v>
      </x:c>
      <x:c r="Y236" s="16" t="n">
        <x:v>0</x:v>
      </x:c>
      <x:c r="Z236" s="1" t="b">
        <x:v>1</x:v>
      </x:c>
      <x:c r="AA236" t="str">
        <x:v>North-West, East</x:v>
      </x:c>
      <x:c r="AB236" s="16" t="n">
        <x:v>0</x:v>
      </x:c>
      <x:c r="AC236" s="16" t="n">
        <x:v>0</x:v>
      </x:c>
      <x:c r="AD236" s="1" t="b">
        <x:v>0</x:v>
      </x:c>
    </x:row>
    <x:row r="237">
      <x:c r="A237" t="str">
        <x:v>SYN-0236</x:v>
      </x:c>
      <x:c r="B237" s="12" t="n">
        <x:v>46212</x:v>
      </x:c>
      <x:c r="C237" t="str">
        <x:v>Synthetic New-Project Listing</x:v>
      </x:c>
      <x:c r="D237" t="str">
        <x:v>https://example.com/listings/SYN-0236</x:v>
      </x:c>
      <x:c r="E237" t="str">
        <x:v>New Project</x:v>
      </x:c>
      <x:c r="F237" t="str">
        <x:v>Weizmann Urban</x:v>
      </x:c>
      <x:c r="G237" t="str">
        <x:v>Sample Development B</x:v>
      </x:c>
      <x:c r="H237" t="str">
        <x:v>Epstein 139, Tel Aviv</x:v>
      </x:c>
      <x:c r="I237" t="str">
        <x:v>Tel Aviv</x:v>
      </x:c>
      <x:c r="J237" t="str">
        <x:v>Kikar HaMedina / New North</x:v>
      </x:c>
      <x:c r="K237" s="14" t="n">
        <x:v>0.73</x:v>
      </x:c>
      <x:c r="L237" t="str">
        <x:v>Apartment</x:v>
      </x:c>
      <x:c r="M237" t="n">
        <x:v>3</x:v>
      </x:c>
      <x:c r="N237" s="16" t="n">
        <x:v>87.1</x:v>
      </x:c>
      <x:c r="O237" t="n">
        <x:v>9</x:v>
      </x:c>
      <x:c r="P237" t="n">
        <x:v>13</x:v>
      </x:c>
      <x:c r="Q237" s="18" t="n">
        <x:v>7290000</x:v>
      </x:c>
      <x:c r="R237" s="18" t="n">
        <x:f>IFERROR(Q237/N237,"")</x:f>
        <x:v>83696.90011481057</x:v>
      </x:c>
      <x:c r="S237" t="n">
        <x:v>2025</x:v>
      </x:c>
      <x:c r="T237" t="n">
        <x:v>1</x:v>
      </x:c>
      <x:c r="U237" t="str">
        <x:v>New</x:v>
      </x:c>
      <x:c r="V237" s="16" t="n">
        <x:v>14.8</x:v>
      </x:c>
      <x:c r="W237" t="str">
        <x:v>North-East</x:v>
      </x:c>
      <x:c r="X237" t="n">
        <x:v>1</x:v>
      </x:c>
      <x:c r="Y237" s="16" t="n">
        <x:v>6.8</x:v>
      </x:c>
      <x:c r="Z237" s="1" t="b">
        <x:v>1</x:v>
      </x:c>
      <x:c r="AA237" t="str">
        <x:v>North-East, North</x:v>
      </x:c>
      <x:c r="AB237" s="16" t="n">
        <x:v>0</x:v>
      </x:c>
      <x:c r="AC237" s="16" t="n">
        <x:v>0</x:v>
      </x:c>
      <x:c r="AD237" s="1" t="b">
        <x:v>0</x:v>
      </x:c>
    </x:row>
    <x:row r="238">
      <x:c r="A238" t="str">
        <x:v>SYN-0237</x:v>
      </x:c>
      <x:c r="B238" s="12" t="n">
        <x:v>46215</x:v>
      </x:c>
      <x:c r="C238" t="str">
        <x:v>Synthetic Yad2-like Listing</x:v>
      </x:c>
      <x:c r="D238" t="str">
        <x:v>https://example.com/listings/SYN-0237</x:v>
      </x:c>
      <x:c r="E238" t="str">
        <x:v>Second Hand</x:v>
      </x:c>
      <x:c r="F238" t="str"/>
      <x:c r="G238" t="str"/>
      <x:c r="H238" t="str">
        <x:v>Biltmore 164, Tel Aviv</x:v>
      </x:c>
      <x:c r="I238" t="str">
        <x:v>Tel Aviv</x:v>
      </x:c>
      <x:c r="J238" t="str">
        <x:v>Kikar HaMedina / New North</x:v>
      </x:c>
      <x:c r="K238" s="14" t="n">
        <x:v>0.86</x:v>
      </x:c>
      <x:c r="L238" t="str">
        <x:v>Apartment</x:v>
      </x:c>
      <x:c r="M238" t="n">
        <x:v>5</x:v>
      </x:c>
      <x:c r="N238" s="16" t="n">
        <x:v>132</x:v>
      </x:c>
      <x:c r="O238" t="n">
        <x:v>10</x:v>
      </x:c>
      <x:c r="P238" t="n">
        <x:v>13</x:v>
      </x:c>
      <x:c r="Q238" s="18" t="n">
        <x:v>9650000</x:v>
      </x:c>
      <x:c r="R238" s="18" t="n">
        <x:f>IFERROR(Q238/N238,"")</x:f>
        <x:v>73106.06060606061</x:v>
      </x:c>
      <x:c r="S238" t="n">
        <x:v>2022</x:v>
      </x:c>
      <x:c r="T238" t="n">
        <x:v>4</x:v>
      </x:c>
      <x:c r="U238" t="str">
        <x:v>Good</x:v>
      </x:c>
      <x:c r="V238" s="16" t="n">
        <x:v>30.8</x:v>
      </x:c>
      <x:c r="W238" t="str">
        <x:v>South</x:v>
      </x:c>
      <x:c r="X238" t="n">
        <x:v>1</x:v>
      </x:c>
      <x:c r="Y238" s="16" t="n">
        <x:v>3.2</x:v>
      </x:c>
      <x:c r="Z238" s="1" t="b">
        <x:v>1</x:v>
      </x:c>
      <x:c r="AA238" t="str">
        <x:v>South, North</x:v>
      </x:c>
      <x:c r="AB238" s="16" t="n">
        <x:v>0</x:v>
      </x:c>
      <x:c r="AC238" s="16" t="n">
        <x:v>0</x:v>
      </x:c>
      <x:c r="AD238" s="1" t="b">
        <x:v>0</x:v>
      </x:c>
    </x:row>
    <x:row r="239">
      <x:c r="A239" t="str">
        <x:v>SYN-0238</x:v>
      </x:c>
      <x:c r="B239" s="12" t="n">
        <x:v>46204</x:v>
      </x:c>
      <x:c r="C239" t="str">
        <x:v>Synthetic New-Project Listing</x:v>
      </x:c>
      <x:c r="D239" t="str">
        <x:v>https://example.com/listings/SYN-0238</x:v>
      </x:c>
      <x:c r="E239" t="str">
        <x:v>New Project</x:v>
      </x:c>
      <x:c r="F239" t="str">
        <x:v>Helsinki Gardens</x:v>
      </x:c>
      <x:c r="G239" t="str">
        <x:v>Sample Development C</x:v>
      </x:c>
      <x:c r="H239" t="str">
        <x:v>Pinkas 100, Tel Aviv</x:v>
      </x:c>
      <x:c r="I239" t="str">
        <x:v>Tel Aviv</x:v>
      </x:c>
      <x:c r="J239" t="str">
        <x:v>Kikar HaMedina / New North</x:v>
      </x:c>
      <x:c r="K239" s="14" t="n">
        <x:v>0.58</x:v>
      </x:c>
      <x:c r="L239" t="str">
        <x:v>Apartment</x:v>
      </x:c>
      <x:c r="M239" t="n">
        <x:v>5</x:v>
      </x:c>
      <x:c r="N239" s="16" t="n">
        <x:v>128</x:v>
      </x:c>
      <x:c r="O239" t="n">
        <x:v>9</x:v>
      </x:c>
      <x:c r="P239" t="n">
        <x:v>13</x:v>
      </x:c>
      <x:c r="Q239" s="18" t="n">
        <x:v>10150000</x:v>
      </x:c>
      <x:c r="R239" s="18" t="n">
        <x:f>IFERROR(Q239/N239,"")</x:f>
        <x:v>79296.875</x:v>
      </x:c>
      <x:c r="S239" t="n">
        <x:v>2027</x:v>
      </x:c>
      <x:c r="T239" t="n">
        <x:v>0</x:v>
      </x:c>
      <x:c r="U239" t="str">
        <x:v>New</x:v>
      </x:c>
      <x:c r="V239" s="16" t="n">
        <x:v>8.6</x:v>
      </x:c>
      <x:c r="W239" t="str">
        <x:v>South</x:v>
      </x:c>
      <x:c r="X239" t="n">
        <x:v>1</x:v>
      </x:c>
      <x:c r="Y239" s="16" t="n">
        <x:v>7.2</x:v>
      </x:c>
      <x:c r="Z239" s="1" t="b">
        <x:v>1</x:v>
      </x:c>
      <x:c r="AA239" t="str">
        <x:v>South</x:v>
      </x:c>
      <x:c r="AB239" s="16" t="n">
        <x:v>0</x:v>
      </x:c>
      <x:c r="AC239" s="16" t="n">
        <x:v>0</x:v>
      </x:c>
      <x:c r="AD239" s="1" t="b">
        <x:v>0</x:v>
      </x:c>
    </x:row>
    <x:row r="240">
      <x:c r="A240" t="str">
        <x:v>SYN-0239</x:v>
      </x:c>
      <x:c r="B240" s="12" t="n">
        <x:v>46245</x:v>
      </x:c>
      <x:c r="C240" t="str">
        <x:v>Synthetic Yad2-like Listing</x:v>
      </x:c>
      <x:c r="D240" t="str">
        <x:v>https://example.com/listings/SYN-0239</x:v>
      </x:c>
      <x:c r="E240" t="str">
        <x:v>Second Hand</x:v>
      </x:c>
      <x:c r="F240" t="str"/>
      <x:c r="G240" t="str"/>
      <x:c r="H240" t="str">
        <x:v>Epstein 81, Tel Aviv</x:v>
      </x:c>
      <x:c r="I240" t="str">
        <x:v>Tel Aviv</x:v>
      </x:c>
      <x:c r="J240" t="str">
        <x:v>Kikar HaMedina / New North</x:v>
      </x:c>
      <x:c r="K240" s="14" t="n">
        <x:v>0.84</x:v>
      </x:c>
      <x:c r="L240" t="str">
        <x:v>Apartment</x:v>
      </x:c>
      <x:c r="M240" t="n">
        <x:v>5</x:v>
      </x:c>
      <x:c r="N240" s="16" t="n">
        <x:v>117.8</x:v>
      </x:c>
      <x:c r="O240" t="n">
        <x:v>10</x:v>
      </x:c>
      <x:c r="P240" t="n">
        <x:v>14</x:v>
      </x:c>
      <x:c r="Q240" s="18" t="n">
        <x:v>8190000</x:v>
      </x:c>
      <x:c r="R240" s="18" t="n">
        <x:f>IFERROR(Q240/N240,"")</x:f>
        <x:v>69524.61799660441</x:v>
      </x:c>
      <x:c r="S240" t="n">
        <x:v>1985</x:v>
      </x:c>
      <x:c r="T240" t="n">
        <x:v>41</x:v>
      </x:c>
      <x:c r="U240" t="str">
        <x:v>Good</x:v>
      </x:c>
      <x:c r="V240" s="16" t="n">
        <x:v>30.3</x:v>
      </x:c>
      <x:c r="W240" t="str">
        <x:v>South-West</x:v>
      </x:c>
      <x:c r="X240" t="n">
        <x:v>0</x:v>
      </x:c>
      <x:c r="Y240" s="16" t="n">
        <x:v>6.2</x:v>
      </x:c>
      <x:c r="Z240" s="1" t="b">
        <x:v>1</x:v>
      </x:c>
      <x:c r="AA240" t="str">
        <x:v>South-West, East</x:v>
      </x:c>
      <x:c r="AB240" s="16" t="n">
        <x:v>0</x:v>
      </x:c>
      <x:c r="AC240" s="16" t="n">
        <x:v>0</x:v>
      </x:c>
      <x:c r="AD240" s="1" t="b">
        <x:v>0</x:v>
      </x:c>
    </x:row>
    <x:row r="241">
      <x:c r="A241" t="str">
        <x:v>SYN-0240</x:v>
      </x:c>
      <x:c r="B241" s="12" t="n">
        <x:v>46231</x:v>
      </x:c>
      <x:c r="C241" t="str">
        <x:v>Synthetic Yad2-like Listing</x:v>
      </x:c>
      <x:c r="D241" t="str">
        <x:v>https://example.com/listings/SYN-0240</x:v>
      </x:c>
      <x:c r="E241" t="str">
        <x:v>Second Hand</x:v>
      </x:c>
      <x:c r="F241" t="str"/>
      <x:c r="G241" t="str"/>
      <x:c r="H241" t="str">
        <x:v>Bavli 113, Tel Aviv</x:v>
      </x:c>
      <x:c r="I241" t="str">
        <x:v>Tel Aviv</x:v>
      </x:c>
      <x:c r="J241" t="str">
        <x:v>Kikar HaMedina / New North</x:v>
      </x:c>
      <x:c r="K241" s="14" t="n">
        <x:v>0.67</x:v>
      </x:c>
      <x:c r="L241" t="str">
        <x:v>Apartment</x:v>
      </x:c>
      <x:c r="M241" t="n">
        <x:v>4</x:v>
      </x:c>
      <x:c r="N241" s="16" t="n">
        <x:v>98.4</x:v>
      </x:c>
      <x:c r="O241" t="n">
        <x:v>7</x:v>
      </x:c>
      <x:c r="P241" t="n">
        <x:v>15</x:v>
      </x:c>
      <x:c r="Q241" s="18" t="n">
        <x:v>7470000</x:v>
      </x:c>
      <x:c r="R241" s="18" t="n">
        <x:f>IFERROR(Q241/N241,"")</x:f>
        <x:v>75914.63414634146</x:v>
      </x:c>
      <x:c r="S241" t="n">
        <x:v>2021</x:v>
      </x:c>
      <x:c r="T241" t="n">
        <x:v>5</x:v>
      </x:c>
      <x:c r="U241" t="str">
        <x:v>Renovated</x:v>
      </x:c>
      <x:c r="V241" s="16" t="n">
        <x:v>23.9</x:v>
      </x:c>
      <x:c r="W241" t="str">
        <x:v>South-East</x:v>
      </x:c>
      <x:c r="X241" t="n">
        <x:v>0</x:v>
      </x:c>
      <x:c r="Y241" s="16" t="n">
        <x:v>5.7</x:v>
      </x:c>
      <x:c r="Z241" s="1" t="b">
        <x:v>1</x:v>
      </x:c>
      <x:c r="AA241" t="str">
        <x:v>South-East</x:v>
      </x:c>
      <x:c r="AB241" s="16" t="n">
        <x:v>0</x:v>
      </x:c>
      <x:c r="AC241" s="16" t="n">
        <x:v>0</x:v>
      </x:c>
      <x:c r="AD241" s="1" t="b">
        <x:v>0</x:v>
      </x:c>
    </x:row>
    <x:row r="242">
      <x:c r="A242" t="str">
        <x:v>SYN-0241</x:v>
      </x:c>
      <x:c r="B242" s="12" t="n">
        <x:v>46224</x:v>
      </x:c>
      <x:c r="C242" t="str">
        <x:v>Synthetic New-Project Listing</x:v>
      </x:c>
      <x:c r="D242" t="str">
        <x:v>https://example.com/listings/SYN-0241</x:v>
      </x:c>
      <x:c r="E242" t="str">
        <x:v>New Project</x:v>
      </x:c>
      <x:c r="F242" t="str">
        <x:v>Weizmann Urban</x:v>
      </x:c>
      <x:c r="G242" t="str">
        <x:v>Sample Development B</x:v>
      </x:c>
      <x:c r="H242" t="str">
        <x:v>Biltmore 46, Tel Aviv</x:v>
      </x:c>
      <x:c r="I242" t="str">
        <x:v>Tel Aviv</x:v>
      </x:c>
      <x:c r="J242" t="str">
        <x:v>Kikar HaMedina / New North</x:v>
      </x:c>
      <x:c r="K242" s="14" t="n">
        <x:v>0.83</x:v>
      </x:c>
      <x:c r="L242" t="str">
        <x:v>Apartment</x:v>
      </x:c>
      <x:c r="M242" t="n">
        <x:v>5</x:v>
      </x:c>
      <x:c r="N242" s="16" t="n">
        <x:v>129.9</x:v>
      </x:c>
      <x:c r="O242" t="n">
        <x:v>2</x:v>
      </x:c>
      <x:c r="P242" t="n">
        <x:v>11</x:v>
      </x:c>
      <x:c r="Q242" s="18" t="n">
        <x:v>10080000</x:v>
      </x:c>
      <x:c r="R242" s="18" t="n">
        <x:f>IFERROR(Q242/N242,"")</x:f>
        <x:v>77598.15242494227</x:v>
      </x:c>
      <x:c r="S242" t="n">
        <x:v>2027</x:v>
      </x:c>
      <x:c r="T242" t="n">
        <x:v>0</x:v>
      </x:c>
      <x:c r="U242" t="str">
        <x:v>New</x:v>
      </x:c>
      <x:c r="V242" s="16" t="n">
        <x:v>25.3</x:v>
      </x:c>
      <x:c r="W242" t="str">
        <x:v>South</x:v>
      </x:c>
      <x:c r="X242" t="n">
        <x:v>1</x:v>
      </x:c>
      <x:c r="Y242" s="16" t="n">
        <x:v>0</x:v>
      </x:c>
      <x:c r="Z242" s="1" t="b">
        <x:v>1</x:v>
      </x:c>
      <x:c r="AA242" t="str">
        <x:v>South, North</x:v>
      </x:c>
      <x:c r="AB242" s="16" t="n">
        <x:v>0</x:v>
      </x:c>
      <x:c r="AC242" s="16" t="n">
        <x:v>0</x:v>
      </x:c>
      <x:c r="AD242" s="1" t="b">
        <x:v>0</x:v>
      </x:c>
    </x:row>
    <x:row r="243">
      <x:c r="A243" t="str">
        <x:v>SYN-0242</x:v>
      </x:c>
      <x:c r="B243" s="12" t="n">
        <x:v>46246</x:v>
      </x:c>
      <x:c r="C243" t="str">
        <x:v>Synthetic Yad2-like Listing</x:v>
      </x:c>
      <x:c r="D243" t="str">
        <x:v>https://example.com/listings/SYN-0242</x:v>
      </x:c>
      <x:c r="E243" t="str">
        <x:v>Second Hand</x:v>
      </x:c>
      <x:c r="F243" t="str"/>
      <x:c r="G243" t="str"/>
      <x:c r="H243" t="str">
        <x:v>Biltmore 141, Tel Aviv</x:v>
      </x:c>
      <x:c r="I243" t="str">
        <x:v>Tel Aviv</x:v>
      </x:c>
      <x:c r="J243" t="str">
        <x:v>Kikar HaMedina / New North</x:v>
      </x:c>
      <x:c r="K243" s="14" t="n">
        <x:v>0.95</x:v>
      </x:c>
      <x:c r="L243" t="str">
        <x:v>Apartment</x:v>
      </x:c>
      <x:c r="M243" t="n">
        <x:v>5</x:v>
      </x:c>
      <x:c r="N243" s="16" t="n">
        <x:v>132.7</x:v>
      </x:c>
      <x:c r="O243" t="n">
        <x:v>11</x:v>
      </x:c>
      <x:c r="P243" t="n">
        <x:v>17</x:v>
      </x:c>
      <x:c r="Q243" s="18" t="n">
        <x:v>8660000</x:v>
      </x:c>
      <x:c r="R243" s="18" t="n">
        <x:f>IFERROR(Q243/N243,"")</x:f>
        <x:v>65259.984928409955</x:v>
      </x:c>
      <x:c r="S243" t="n">
        <x:v>1999</x:v>
      </x:c>
      <x:c r="T243" t="n">
        <x:v>27</x:v>
      </x:c>
      <x:c r="U243" t="str">
        <x:v>Needs Renovation</x:v>
      </x:c>
      <x:c r="V243" s="16" t="n">
        <x:v>18.8</x:v>
      </x:c>
      <x:c r="W243" t="str">
        <x:v>North-West</x:v>
      </x:c>
      <x:c r="X243" t="n">
        <x:v>1</x:v>
      </x:c>
      <x:c r="Y243" s="16" t="n">
        <x:v>0</x:v>
      </x:c>
      <x:c r="Z243" s="1" t="b">
        <x:v>0</x:v>
      </x:c>
      <x:c r="AA243" t="str">
        <x:v>North-West, West</x:v>
      </x:c>
      <x:c r="AB243" s="16" t="n">
        <x:v>0</x:v>
      </x:c>
      <x:c r="AC243" s="16" t="n">
        <x:v>0</x:v>
      </x:c>
      <x:c r="AD243" s="1" t="b">
        <x:v>0</x:v>
      </x:c>
    </x:row>
    <x:row r="244">
      <x:c r="A244" t="str">
        <x:v>SYN-0243</x:v>
      </x:c>
      <x:c r="B244" s="12" t="n">
        <x:v>46241</x:v>
      </x:c>
      <x:c r="C244" t="str">
        <x:v>Synthetic Yad2-like Listing</x:v>
      </x:c>
      <x:c r="D244" t="str">
        <x:v>https://example.com/listings/SYN-0243</x:v>
      </x:c>
      <x:c r="E244" t="str">
        <x:v>Second Hand</x:v>
      </x:c>
      <x:c r="F244" t="str"/>
      <x:c r="G244" t="str"/>
      <x:c r="H244" t="str">
        <x:v>Bavli 128, Tel Aviv</x:v>
      </x:c>
      <x:c r="I244" t="str">
        <x:v>Tel Aviv</x:v>
      </x:c>
      <x:c r="J244" t="str">
        <x:v>Kikar HaMedina / New North</x:v>
      </x:c>
      <x:c r="K244" s="14" t="n">
        <x:v>0.84</x:v>
      </x:c>
      <x:c r="L244" t="str">
        <x:v>Duplex</x:v>
      </x:c>
      <x:c r="M244" t="n">
        <x:v>2</x:v>
      </x:c>
      <x:c r="N244" s="16" t="n">
        <x:v>48</x:v>
      </x:c>
      <x:c r="O244" t="n">
        <x:v>12</x:v>
      </x:c>
      <x:c r="P244" t="n">
        <x:v>18</x:v>
      </x:c>
      <x:c r="Q244" s="18" t="n">
        <x:v>3810000</x:v>
      </x:c>
      <x:c r="R244" s="18" t="n">
        <x:f>IFERROR(Q244/N244,"")</x:f>
        <x:v>79375</x:v>
      </x:c>
      <x:c r="S244" t="n">
        <x:v>1960</x:v>
      </x:c>
      <x:c r="T244" t="n">
        <x:v>66</x:v>
      </x:c>
      <x:c r="U244" t="str">
        <x:v>Good</x:v>
      </x:c>
      <x:c r="V244" s="16" t="n">
        <x:v>19.7</x:v>
      </x:c>
      <x:c r="W244" t="str">
        <x:v>South-West</x:v>
      </x:c>
      <x:c r="X244" t="n">
        <x:v>1</x:v>
      </x:c>
      <x:c r="Y244" s="16" t="n">
        <x:v>9.3</x:v>
      </x:c>
      <x:c r="Z244" s="1" t="b">
        <x:v>0</x:v>
      </x:c>
      <x:c r="AA244" t="str">
        <x:v>South-West, East</x:v>
      </x:c>
      <x:c r="AB244" s="16" t="n">
        <x:v>0</x:v>
      </x:c>
      <x:c r="AC244" s="16" t="n">
        <x:v>0</x:v>
      </x:c>
      <x:c r="AD244" s="1" t="b">
        <x:v>0</x:v>
      </x:c>
    </x:row>
    <x:row r="245">
      <x:c r="A245" t="str">
        <x:v>SYN-0244</x:v>
      </x:c>
      <x:c r="B245" s="12" t="n">
        <x:v>46215</x:v>
      </x:c>
      <x:c r="C245" t="str">
        <x:v>Synthetic Yad2-like Listing</x:v>
      </x:c>
      <x:c r="D245" t="str">
        <x:v>https://example.com/listings/SYN-0244</x:v>
      </x:c>
      <x:c r="E245" t="str">
        <x:v>Second Hand</x:v>
      </x:c>
      <x:c r="F245" t="str"/>
      <x:c r="G245" t="str"/>
      <x:c r="H245" t="str">
        <x:v>Epstein 155, Tel Aviv</x:v>
      </x:c>
      <x:c r="I245" t="str">
        <x:v>Tel Aviv</x:v>
      </x:c>
      <x:c r="J245" t="str">
        <x:v>Kikar HaMedina / New North</x:v>
      </x:c>
      <x:c r="K245" s="14" t="n">
        <x:v>0.86</x:v>
      </x:c>
      <x:c r="L245" t="str">
        <x:v>Apartment</x:v>
      </x:c>
      <x:c r="M245" t="n">
        <x:v>3</x:v>
      </x:c>
      <x:c r="N245" s="16" t="n">
        <x:v>75.2</x:v>
      </x:c>
      <x:c r="O245" t="n">
        <x:v>9</x:v>
      </x:c>
      <x:c r="P245" t="n">
        <x:v>10</x:v>
      </x:c>
      <x:c r="Q245" s="18" t="n">
        <x:v>5930000</x:v>
      </x:c>
      <x:c r="R245" s="18" t="n">
        <x:f>IFERROR(Q245/N245,"")</x:f>
        <x:v>78856.3829787234</x:v>
      </x:c>
      <x:c r="S245" t="n">
        <x:v>2014</x:v>
      </x:c>
      <x:c r="T245" t="n">
        <x:v>12</x:v>
      </x:c>
      <x:c r="U245" t="str">
        <x:v>Renovated</x:v>
      </x:c>
      <x:c r="V245" s="16" t="n">
        <x:v>16.9</x:v>
      </x:c>
      <x:c r="W245" t="str">
        <x:v>West</x:v>
      </x:c>
      <x:c r="X245" t="n">
        <x:v>1</x:v>
      </x:c>
      <x:c r="Y245" s="16" t="n">
        <x:v>7.6</x:v>
      </x:c>
      <x:c r="Z245" s="1" t="b">
        <x:v>1</x:v>
      </x:c>
      <x:c r="AA245" t="str">
        <x:v>West, South</x:v>
      </x:c>
      <x:c r="AB245" s="16" t="n">
        <x:v>0</x:v>
      </x:c>
      <x:c r="AC245" s="16" t="n">
        <x:v>0</x:v>
      </x:c>
      <x:c r="AD245" s="1" t="b">
        <x:v>1</x:v>
      </x:c>
    </x:row>
    <x:row r="246">
      <x:c r="A246" t="str">
        <x:v>SYN-0245</x:v>
      </x:c>
      <x:c r="B246" s="12" t="n">
        <x:v>46237</x:v>
      </x:c>
      <x:c r="C246" t="str">
        <x:v>Synthetic New-Project Listing</x:v>
      </x:c>
      <x:c r="D246" t="str">
        <x:v>https://example.com/listings/SYN-0245</x:v>
      </x:c>
      <x:c r="E246" t="str">
        <x:v>New Project</x:v>
      </x:c>
      <x:c r="F246" t="str">
        <x:v>North TLV Living</x:v>
      </x:c>
      <x:c r="G246" t="str">
        <x:v>Sample Development D</x:v>
      </x:c>
      <x:c r="H246" t="str">
        <x:v>Weizmann 17, Tel Aviv</x:v>
      </x:c>
      <x:c r="I246" t="str">
        <x:v>Tel Aviv</x:v>
      </x:c>
      <x:c r="J246" t="str">
        <x:v>Kikar HaMedina / New North</x:v>
      </x:c>
      <x:c r="K246" s="14" t="n">
        <x:v>0.26</x:v>
      </x:c>
      <x:c r="L246" t="str">
        <x:v>Apartment</x:v>
      </x:c>
      <x:c r="M246" t="n">
        <x:v>3</x:v>
      </x:c>
      <x:c r="N246" s="16" t="n">
        <x:v>80.2</x:v>
      </x:c>
      <x:c r="O246" t="n">
        <x:v>11</x:v>
      </x:c>
      <x:c r="P246" t="n">
        <x:v>16</x:v>
      </x:c>
      <x:c r="Q246" s="18" t="n">
        <x:v>6720000</x:v>
      </x:c>
      <x:c r="R246" s="18" t="n">
        <x:f>IFERROR(Q246/N246,"")</x:f>
        <x:v>83790.52369077306</x:v>
      </x:c>
      <x:c r="S246" t="n">
        <x:v>2026</x:v>
      </x:c>
      <x:c r="T246" t="n">
        <x:v>0</x:v>
      </x:c>
      <x:c r="U246" t="str">
        <x:v>New</x:v>
      </x:c>
      <x:c r="V246" s="16" t="n">
        <x:v>23.5</x:v>
      </x:c>
      <x:c r="W246" t="str">
        <x:v>North-West</x:v>
      </x:c>
      <x:c r="X246" t="n">
        <x:v>1</x:v>
      </x:c>
      <x:c r="Y246" s="16" t="n">
        <x:v>5.1</x:v>
      </x:c>
      <x:c r="Z246" s="1" t="b">
        <x:v>1</x:v>
      </x:c>
      <x:c r="AA246" t="str">
        <x:v>North-West, North</x:v>
      </x:c>
      <x:c r="AB246" s="16" t="n">
        <x:v>0</x:v>
      </x:c>
      <x:c r="AC246" s="16" t="n">
        <x:v>0</x:v>
      </x:c>
      <x:c r="AD246" s="1" t="b">
        <x:v>0</x:v>
      </x:c>
    </x:row>
    <x:row r="247">
      <x:c r="A247" t="str">
        <x:v>SYN-0246</x:v>
      </x:c>
      <x:c r="B247" s="12" t="n">
        <x:v>46235</x:v>
      </x:c>
      <x:c r="C247" t="str">
        <x:v>Synthetic New-Project Listing</x:v>
      </x:c>
      <x:c r="D247" t="str">
        <x:v>https://example.com/listings/SYN-0246</x:v>
      </x:c>
      <x:c r="E247" t="str">
        <x:v>New Project</x:v>
      </x:c>
      <x:c r="F247" t="str">
        <x:v>Medina Boutique</x:v>
      </x:c>
      <x:c r="G247" t="str">
        <x:v>Sample Development E</x:v>
      </x:c>
      <x:c r="H247" t="str">
        <x:v>Epstein 160, Tel Aviv</x:v>
      </x:c>
      <x:c r="I247" t="str">
        <x:v>Tel Aviv</x:v>
      </x:c>
      <x:c r="J247" t="str">
        <x:v>Kikar HaMedina / New North</x:v>
      </x:c>
      <x:c r="K247" s="14" t="n">
        <x:v>0.7</x:v>
      </x:c>
      <x:c r="L247" t="str">
        <x:v>Apartment</x:v>
      </x:c>
      <x:c r="M247" t="n">
        <x:v>3</x:v>
      </x:c>
      <x:c r="N247" s="16" t="n">
        <x:v>66.3</x:v>
      </x:c>
      <x:c r="O247" t="n">
        <x:v>9</x:v>
      </x:c>
      <x:c r="P247" t="n">
        <x:v>18</x:v>
      </x:c>
      <x:c r="Q247" s="18" t="n">
        <x:v>5530000</x:v>
      </x:c>
      <x:c r="R247" s="18" t="n">
        <x:f>IFERROR(Q247/N247,"")</x:f>
        <x:v>83408.74811463048</x:v>
      </x:c>
      <x:c r="S247" t="n">
        <x:v>2026</x:v>
      </x:c>
      <x:c r="T247" t="n">
        <x:v>0</x:v>
      </x:c>
      <x:c r="U247" t="str">
        <x:v>New</x:v>
      </x:c>
      <x:c r="V247" s="16" t="n">
        <x:v>19</x:v>
      </x:c>
      <x:c r="W247" t="str">
        <x:v>North-East</x:v>
      </x:c>
      <x:c r="X247" t="n">
        <x:v>1</x:v>
      </x:c>
      <x:c r="Y247" s="16" t="n">
        <x:v>0</x:v>
      </x:c>
      <x:c r="Z247" s="1" t="b">
        <x:v>1</x:v>
      </x:c>
      <x:c r="AA247" t="str">
        <x:v>North-East, South</x:v>
      </x:c>
      <x:c r="AB247" s="16" t="n">
        <x:v>0</x:v>
      </x:c>
      <x:c r="AC247" s="16" t="n">
        <x:v>0</x:v>
      </x:c>
      <x:c r="AD247" s="1" t="b">
        <x:v>0</x:v>
      </x:c>
    </x:row>
    <x:row r="248">
      <x:c r="A248" t="str">
        <x:v>SYN-0247</x:v>
      </x:c>
      <x:c r="B248" s="12" t="n">
        <x:v>46236</x:v>
      </x:c>
      <x:c r="C248" t="str">
        <x:v>Synthetic Yad2-like Listing</x:v>
      </x:c>
      <x:c r="D248" t="str">
        <x:v>https://example.com/listings/SYN-0247</x:v>
      </x:c>
      <x:c r="E248" t="str">
        <x:v>Second Hand</x:v>
      </x:c>
      <x:c r="F248" t="str"/>
      <x:c r="G248" t="str"/>
      <x:c r="H248" t="str">
        <x:v>Klay 164, Tel Aviv</x:v>
      </x:c>
      <x:c r="I248" t="str">
        <x:v>Tel Aviv</x:v>
      </x:c>
      <x:c r="J248" t="str">
        <x:v>Kikar HaMedina / New North</x:v>
      </x:c>
      <x:c r="K248" s="14" t="n">
        <x:v>0.62</x:v>
      </x:c>
      <x:c r="L248" t="str">
        <x:v>Duplex</x:v>
      </x:c>
      <x:c r="M248" t="n">
        <x:v>5</x:v>
      </x:c>
      <x:c r="N248" s="16" t="n">
        <x:v>118.1</x:v>
      </x:c>
      <x:c r="O248" t="n">
        <x:v>4</x:v>
      </x:c>
      <x:c r="P248" t="n">
        <x:v>8</x:v>
      </x:c>
      <x:c r="Q248" s="18" t="n">
        <x:v>8710000</x:v>
      </x:c>
      <x:c r="R248" s="18" t="n">
        <x:f>IFERROR(Q248/N248,"")</x:f>
        <x:v>73751.05842506351</x:v>
      </x:c>
      <x:c r="S248" t="n">
        <x:v>1962</x:v>
      </x:c>
      <x:c r="T248" t="n">
        <x:v>64</x:v>
      </x:c>
      <x:c r="U248" t="str">
        <x:v>Renovated</x:v>
      </x:c>
      <x:c r="V248" s="16" t="n">
        <x:v>23</x:v>
      </x:c>
      <x:c r="W248" t="str">
        <x:v>South</x:v>
      </x:c>
      <x:c r="X248" t="n">
        <x:v>2</x:v>
      </x:c>
      <x:c r="Y248" s="16" t="n">
        <x:v>0</x:v>
      </x:c>
      <x:c r="Z248" s="1" t="b">
        <x:v>1</x:v>
      </x:c>
      <x:c r="AA248" t="str">
        <x:v>South</x:v>
      </x:c>
      <x:c r="AB248" s="16" t="n">
        <x:v>0</x:v>
      </x:c>
      <x:c r="AC248" s="16" t="n">
        <x:v>0</x:v>
      </x:c>
      <x:c r="AD248" s="1" t="b">
        <x:v>0</x:v>
      </x:c>
    </x:row>
    <x:row r="249">
      <x:c r="A249" t="str">
        <x:v>SYN-0248</x:v>
      </x:c>
      <x:c r="B249" s="12" t="n">
        <x:v>46225</x:v>
      </x:c>
      <x:c r="C249" t="str">
        <x:v>Synthetic Yad2-like Listing</x:v>
      </x:c>
      <x:c r="D249" t="str">
        <x:v>https://example.com/listings/SYN-0248</x:v>
      </x:c>
      <x:c r="E249" t="str">
        <x:v>Second Hand</x:v>
      </x:c>
      <x:c r="F249" t="str"/>
      <x:c r="G249" t="str"/>
      <x:c r="H249" t="str">
        <x:v>Helsinki 166, Tel Aviv</x:v>
      </x:c>
      <x:c r="I249" t="str">
        <x:v>Tel Aviv</x:v>
      </x:c>
      <x:c r="J249" t="str">
        <x:v>Kikar HaMedina / New North</x:v>
      </x:c>
      <x:c r="K249" s="14" t="n">
        <x:v>0.05</x:v>
      </x:c>
      <x:c r="L249" t="str">
        <x:v>Apartment</x:v>
      </x:c>
      <x:c r="M249" t="n">
        <x:v>4</x:v>
      </x:c>
      <x:c r="N249" s="16" t="n">
        <x:v>90.3</x:v>
      </x:c>
      <x:c r="O249" t="n">
        <x:v>5</x:v>
      </x:c>
      <x:c r="P249" t="n">
        <x:v>11</x:v>
      </x:c>
      <x:c r="Q249" s="18" t="n">
        <x:v>6160000</x:v>
      </x:c>
      <x:c r="R249" s="18" t="n">
        <x:f>IFERROR(Q249/N249,"")</x:f>
        <x:v>68217.0542635659</x:v>
      </x:c>
      <x:c r="S249" t="n">
        <x:v>1990</x:v>
      </x:c>
      <x:c r="T249" t="n">
        <x:v>36</x:v>
      </x:c>
      <x:c r="U249" t="str">
        <x:v>Needs Renovation</x:v>
      </x:c>
      <x:c r="V249" s="16" t="n">
        <x:v>23.4</x:v>
      </x:c>
      <x:c r="W249" t="str">
        <x:v>East</x:v>
      </x:c>
      <x:c r="X249" t="n">
        <x:v>1</x:v>
      </x:c>
      <x:c r="Y249" s="16" t="n">
        <x:v>0</x:v>
      </x:c>
      <x:c r="Z249" s="1" t="b">
        <x:v>0</x:v>
      </x:c>
      <x:c r="AA249" t="str">
        <x:v>East</x:v>
      </x:c>
      <x:c r="AB249" s="16" t="n">
        <x:v>0</x:v>
      </x:c>
      <x:c r="AC249" s="16" t="n">
        <x:v>0</x:v>
      </x:c>
      <x:c r="AD249" s="1" t="b">
        <x:v>0</x:v>
      </x:c>
    </x:row>
    <x:row r="250">
      <x:c r="A250" t="str">
        <x:v>SYN-0249</x:v>
      </x:c>
      <x:c r="B250" s="12" t="n">
        <x:v>46242</x:v>
      </x:c>
      <x:c r="C250" t="str">
        <x:v>Synthetic Yad2-like Listing</x:v>
      </x:c>
      <x:c r="D250" t="str">
        <x:v>https://example.com/listings/SYN-0249</x:v>
      </x:c>
      <x:c r="E250" t="str">
        <x:v>Second Hand</x:v>
      </x:c>
      <x:c r="F250" t="str"/>
      <x:c r="G250" t="str"/>
      <x:c r="H250" t="str">
        <x:v>Pinkas 97, Tel Aviv</x:v>
      </x:c>
      <x:c r="I250" t="str">
        <x:v>Tel Aviv</x:v>
      </x:c>
      <x:c r="J250" t="str">
        <x:v>Kikar HaMedina / New North</x:v>
      </x:c>
      <x:c r="K250" s="14" t="n">
        <x:v>0.45</x:v>
      </x:c>
      <x:c r="L250" t="str">
        <x:v>Apartment</x:v>
      </x:c>
      <x:c r="M250" t="n">
        <x:v>5</x:v>
      </x:c>
      <x:c r="N250" s="16" t="n">
        <x:v>136.1</x:v>
      </x:c>
      <x:c r="O250" t="n">
        <x:v>0</x:v>
      </x:c>
      <x:c r="P250" t="n">
        <x:v>17</x:v>
      </x:c>
      <x:c r="Q250" s="18" t="n">
        <x:v>9470000</x:v>
      </x:c>
      <x:c r="R250" s="18" t="n">
        <x:f>IFERROR(Q250/N250,"")</x:f>
        <x:v>69581.19030124908</x:v>
      </x:c>
      <x:c r="S250" t="n">
        <x:v>1982</x:v>
      </x:c>
      <x:c r="T250" t="n">
        <x:v>44</x:v>
      </x:c>
      <x:c r="U250" t="str">
        <x:v>Renovated</x:v>
      </x:c>
      <x:c r="V250" s="16" t="n">
        <x:v>21.3</x:v>
      </x:c>
      <x:c r="W250" t="str">
        <x:v>North</x:v>
      </x:c>
      <x:c r="X250" t="n">
        <x:v>1</x:v>
      </x:c>
      <x:c r="Y250" s="16" t="n">
        <x:v>0</x:v>
      </x:c>
      <x:c r="Z250" s="1" t="b">
        <x:v>0</x:v>
      </x:c>
      <x:c r="AA250" t="str">
        <x:v>North, East</x:v>
      </x:c>
      <x:c r="AB250" s="16" t="n">
        <x:v>0</x:v>
      </x:c>
      <x:c r="AC250" s="16" t="n">
        <x:v>0</x:v>
      </x:c>
      <x:c r="AD250" s="1" t="b">
        <x:v>0</x:v>
      </x:c>
    </x:row>
    <x:row r="251">
      <x:c r="A251" t="str">
        <x:v>SYN-0250</x:v>
      </x:c>
      <x:c r="B251" s="12" t="n">
        <x:v>46236</x:v>
      </x:c>
      <x:c r="C251" t="str">
        <x:v>Synthetic New-Project Listing</x:v>
      </x:c>
      <x:c r="D251" t="str">
        <x:v>https://example.com/listings/SYN-0250</x:v>
      </x:c>
      <x:c r="E251" t="str">
        <x:v>New Project</x:v>
      </x:c>
      <x:c r="F251" t="str">
        <x:v>Weizmann Urban</x:v>
      </x:c>
      <x:c r="G251" t="str">
        <x:v>Sample Development B</x:v>
      </x:c>
      <x:c r="H251" t="str">
        <x:v>Klay 78, Tel Aviv</x:v>
      </x:c>
      <x:c r="I251" t="str">
        <x:v>Tel Aviv</x:v>
      </x:c>
      <x:c r="J251" t="str">
        <x:v>Kikar HaMedina / New North</x:v>
      </x:c>
      <x:c r="K251" s="14" t="n">
        <x:v>0.62</x:v>
      </x:c>
      <x:c r="L251" t="str">
        <x:v>Duplex</x:v>
      </x:c>
      <x:c r="M251" t="n">
        <x:v>4</x:v>
      </x:c>
      <x:c r="N251" s="16" t="n">
        <x:v>94.2</x:v>
      </x:c>
      <x:c r="O251" t="n">
        <x:v>5</x:v>
      </x:c>
      <x:c r="P251" t="n">
        <x:v>17</x:v>
      </x:c>
      <x:c r="Q251" s="18" t="n">
        <x:v>7410000</x:v>
      </x:c>
      <x:c r="R251" s="18" t="n">
        <x:f>IFERROR(Q251/N251,"")</x:f>
        <x:v>78662.4203821656</x:v>
      </x:c>
      <x:c r="S251" t="n">
        <x:v>2026</x:v>
      </x:c>
      <x:c r="T251" t="n">
        <x:v>0</x:v>
      </x:c>
      <x:c r="U251" t="str">
        <x:v>New</x:v>
      </x:c>
      <x:c r="V251" s="16" t="n">
        <x:v>16</x:v>
      </x:c>
      <x:c r="W251" t="str">
        <x:v>West</x:v>
      </x:c>
      <x:c r="X251" t="n">
        <x:v>1</x:v>
      </x:c>
      <x:c r="Y251" s="16" t="n">
        <x:v>0</x:v>
      </x:c>
      <x:c r="Z251" s="1" t="b">
        <x:v>1</x:v>
      </x:c>
      <x:c r="AA251" t="str">
        <x:v>West, West</x:v>
      </x:c>
      <x:c r="AB251" s="16" t="n">
        <x:v>0</x:v>
      </x:c>
      <x:c r="AC251" s="16" t="n">
        <x:v>0</x:v>
      </x:c>
      <x:c r="AD251" s="1" t="b">
        <x:v>0</x:v>
      </x:c>
    </x:row>
    <x:row r="252">
      <x:c r="A252" t="str">
        <x:v>SYN-0251</x:v>
      </x:c>
      <x:c r="B252" s="12" t="n">
        <x:v>46225</x:v>
      </x:c>
      <x:c r="C252" t="str">
        <x:v>Synthetic New-Project Listing</x:v>
      </x:c>
      <x:c r="D252" t="str">
        <x:v>https://example.com/listings/SYN-0251</x:v>
      </x:c>
      <x:c r="E252" t="str">
        <x:v>New Project</x:v>
      </x:c>
      <x:c r="F252" t="str">
        <x:v>Weizmann Urban</x:v>
      </x:c>
      <x:c r="G252" t="str">
        <x:v>Sample Development B</x:v>
      </x:c>
      <x:c r="H252" t="str">
        <x:v>Jabotinsky 134, Tel Aviv</x:v>
      </x:c>
      <x:c r="I252" t="str">
        <x:v>Tel Aviv</x:v>
      </x:c>
      <x:c r="J252" t="str">
        <x:v>Kikar HaMedina / New North</x:v>
      </x:c>
      <x:c r="K252" s="14" t="n">
        <x:v>0.54</x:v>
      </x:c>
      <x:c r="L252" t="str">
        <x:v>Apartment</x:v>
      </x:c>
      <x:c r="M252" t="n">
        <x:v>4</x:v>
      </x:c>
      <x:c r="N252" s="16" t="n">
        <x:v>98</x:v>
      </x:c>
      <x:c r="O252" t="n">
        <x:v>3</x:v>
      </x:c>
      <x:c r="P252" t="n">
        <x:v>9</x:v>
      </x:c>
      <x:c r="Q252" s="18" t="n">
        <x:v>7680000</x:v>
      </x:c>
      <x:c r="R252" s="18" t="n">
        <x:f>IFERROR(Q252/N252,"")</x:f>
        <x:v>78367.3469387755</x:v>
      </x:c>
      <x:c r="S252" t="n">
        <x:v>2027</x:v>
      </x:c>
      <x:c r="T252" t="n">
        <x:v>0</x:v>
      </x:c>
      <x:c r="U252" t="str">
        <x:v>New</x:v>
      </x:c>
      <x:c r="V252" s="16" t="n">
        <x:v>16.4</x:v>
      </x:c>
      <x:c r="W252" t="str">
        <x:v>North-West</x:v>
      </x:c>
      <x:c r="X252" t="n">
        <x:v>1</x:v>
      </x:c>
      <x:c r="Y252" s="16" t="n">
        <x:v>0</x:v>
      </x:c>
      <x:c r="Z252" s="1" t="b">
        <x:v>1</x:v>
      </x:c>
      <x:c r="AA252" t="str">
        <x:v>North-West, North</x:v>
      </x:c>
      <x:c r="AB252" s="16" t="n">
        <x:v>0</x:v>
      </x:c>
      <x:c r="AC252" s="16" t="n">
        <x:v>0</x:v>
      </x:c>
      <x:c r="AD252" s="1" t="b">
        <x:v>0</x:v>
      </x:c>
    </x:row>
    <x:row r="253">
      <x:c r="A253" t="str">
        <x:v>SYN-0252</x:v>
      </x:c>
      <x:c r="B253" s="12" t="n">
        <x:v>46243</x:v>
      </x:c>
      <x:c r="C253" t="str">
        <x:v>Synthetic Yad2-like Listing</x:v>
      </x:c>
      <x:c r="D253" t="str">
        <x:v>https://example.com/listings/SYN-0252</x:v>
      </x:c>
      <x:c r="E253" t="str">
        <x:v>Second Hand</x:v>
      </x:c>
      <x:c r="F253" t="str"/>
      <x:c r="G253" t="str"/>
      <x:c r="H253" t="str">
        <x:v>Lissin 172, Tel Aviv</x:v>
      </x:c>
      <x:c r="I253" t="str">
        <x:v>Tel Aviv</x:v>
      </x:c>
      <x:c r="J253" t="str">
        <x:v>Kikar HaMedina / New North</x:v>
      </x:c>
      <x:c r="K253" s="14" t="n">
        <x:v>0.56</x:v>
      </x:c>
      <x:c r="L253" t="str">
        <x:v>Duplex</x:v>
      </x:c>
      <x:c r="M253" t="n">
        <x:v>2</x:v>
      </x:c>
      <x:c r="N253" s="16" t="n">
        <x:v>53.3</x:v>
      </x:c>
      <x:c r="O253" t="n">
        <x:v>10</x:v>
      </x:c>
      <x:c r="P253" t="n">
        <x:v>15</x:v>
      </x:c>
      <x:c r="Q253" s="18" t="n">
        <x:v>3910000</x:v>
      </x:c>
      <x:c r="R253" s="18" t="n">
        <x:f>IFERROR(Q253/N253,"")</x:f>
        <x:v>73358.34896810507</x:v>
      </x:c>
      <x:c r="S253" t="n">
        <x:v>1994</x:v>
      </x:c>
      <x:c r="T253" t="n">
        <x:v>32</x:v>
      </x:c>
      <x:c r="U253" t="str">
        <x:v>Renovated</x:v>
      </x:c>
      <x:c r="V253" s="16" t="n">
        <x:v>0</x:v>
      </x:c>
      <x:c r="W253" t="str"/>
      <x:c r="X253" t="n">
        <x:v>1</x:v>
      </x:c>
      <x:c r="Y253" s="16" t="n">
        <x:v>4.4</x:v>
      </x:c>
      <x:c r="Z253" s="1" t="b">
        <x:v>1</x:v>
      </x:c>
      <x:c r="AA253" t="str">
        <x:v>South</x:v>
      </x:c>
      <x:c r="AB253" s="16" t="n">
        <x:v>0</x:v>
      </x:c>
      <x:c r="AC253" s="16" t="n">
        <x:v>0</x:v>
      </x:c>
      <x:c r="AD253" s="1" t="b">
        <x:v>0</x:v>
      </x:c>
    </x:row>
    <x:row r="254">
      <x:c r="A254" t="str">
        <x:v>SYN-0253</x:v>
      </x:c>
      <x:c r="B254" s="12" t="n">
        <x:v>46231</x:v>
      </x:c>
      <x:c r="C254" t="str">
        <x:v>Synthetic Yad2-like Listing</x:v>
      </x:c>
      <x:c r="D254" t="str">
        <x:v>https://example.com/listings/SYN-0253</x:v>
      </x:c>
      <x:c r="E254" t="str">
        <x:v>Second Hand</x:v>
      </x:c>
      <x:c r="F254" t="str"/>
      <x:c r="G254" t="str"/>
      <x:c r="H254" t="str">
        <x:v>Mosenzon 8, Tel Aviv</x:v>
      </x:c>
      <x:c r="I254" t="str">
        <x:v>Tel Aviv</x:v>
      </x:c>
      <x:c r="J254" t="str">
        <x:v>Kikar HaMedina / New North</x:v>
      </x:c>
      <x:c r="K254" s="14" t="n">
        <x:v>0.78</x:v>
      </x:c>
      <x:c r="L254" t="str">
        <x:v>Apartment</x:v>
      </x:c>
      <x:c r="M254" t="n">
        <x:v>2</x:v>
      </x:c>
      <x:c r="N254" s="16" t="n">
        <x:v>53.6</x:v>
      </x:c>
      <x:c r="O254" t="n">
        <x:v>8</x:v>
      </x:c>
      <x:c r="P254" t="n">
        <x:v>14</x:v>
      </x:c>
      <x:c r="Q254" s="18" t="n">
        <x:v>3200000</x:v>
      </x:c>
      <x:c r="R254" s="18" t="n">
        <x:f>IFERROR(Q254/N254,"")</x:f>
        <x:v>59701.49253731343</x:v>
      </x:c>
      <x:c r="S254" t="n">
        <x:v>1979</x:v>
      </x:c>
      <x:c r="T254" t="n">
        <x:v>47</x:v>
      </x:c>
      <x:c r="U254" t="str">
        <x:v>Good</x:v>
      </x:c>
      <x:c r="V254" s="16" t="n">
        <x:v>0</x:v>
      </x:c>
      <x:c r="W254" t="str"/>
      <x:c r="X254" t="n">
        <x:v>0</x:v>
      </x:c>
      <x:c r="Y254" s="16" t="n">
        <x:v>0</x:v>
      </x:c>
      <x:c r="Z254" s="1" t="b">
        <x:v>1</x:v>
      </x:c>
      <x:c r="AA254" t="str">
        <x:v>East-West</x:v>
      </x:c>
      <x:c r="AB254" s="16" t="n">
        <x:v>0</x:v>
      </x:c>
      <x:c r="AC254" s="16" t="n">
        <x:v>0</x:v>
      </x:c>
      <x:c r="AD254" s="1" t="b">
        <x:v>0</x:v>
      </x:c>
    </x:row>
    <x:row r="255">
      <x:c r="A255" t="str">
        <x:v>SYN-0254</x:v>
      </x:c>
      <x:c r="B255" s="12" t="n">
        <x:v>46249</x:v>
      </x:c>
      <x:c r="C255" t="str">
        <x:v>Synthetic New-Project Listing</x:v>
      </x:c>
      <x:c r="D255" t="str">
        <x:v>https://example.com/listings/SYN-0254</x:v>
      </x:c>
      <x:c r="E255" t="str">
        <x:v>New Project</x:v>
      </x:c>
      <x:c r="F255" t="str">
        <x:v>Medina Boutique</x:v>
      </x:c>
      <x:c r="G255" t="str">
        <x:v>Sample Development E</x:v>
      </x:c>
      <x:c r="H255" t="str">
        <x:v>Pinkas 24, Tel Aviv</x:v>
      </x:c>
      <x:c r="I255" t="str">
        <x:v>Tel Aviv</x:v>
      </x:c>
      <x:c r="J255" t="str">
        <x:v>Kikar HaMedina / New North</x:v>
      </x:c>
      <x:c r="K255" s="14" t="n">
        <x:v>0.44</x:v>
      </x:c>
      <x:c r="L255" t="str">
        <x:v>Apartment</x:v>
      </x:c>
      <x:c r="M255" t="n">
        <x:v>4</x:v>
      </x:c>
      <x:c r="N255" s="16" t="n">
        <x:v>105.8</x:v>
      </x:c>
      <x:c r="O255" t="n">
        <x:v>10</x:v>
      </x:c>
      <x:c r="P255" t="n">
        <x:v>18</x:v>
      </x:c>
      <x:c r="Q255" s="18" t="n">
        <x:v>8680000</x:v>
      </x:c>
      <x:c r="R255" s="18" t="n">
        <x:f>IFERROR(Q255/N255,"")</x:f>
        <x:v>82041.58790170132</x:v>
      </x:c>
      <x:c r="S255" t="n">
        <x:v>2026</x:v>
      </x:c>
      <x:c r="T255" t="n">
        <x:v>0</x:v>
      </x:c>
      <x:c r="U255" t="str">
        <x:v>New</x:v>
      </x:c>
      <x:c r="V255" s="16" t="n">
        <x:v>21.1</x:v>
      </x:c>
      <x:c r="W255" t="str">
        <x:v>South</x:v>
      </x:c>
      <x:c r="X255" t="n">
        <x:v>0</x:v>
      </x:c>
      <x:c r="Y255" s="16" t="n">
        <x:v>0</x:v>
      </x:c>
      <x:c r="Z255" s="1" t="b">
        <x:v>1</x:v>
      </x:c>
      <x:c r="AA255" t="str">
        <x:v>South</x:v>
      </x:c>
      <x:c r="AB255" s="16" t="n">
        <x:v>0</x:v>
      </x:c>
      <x:c r="AC255" s="16" t="n">
        <x:v>0</x:v>
      </x:c>
      <x:c r="AD255" s="1" t="b">
        <x:v>0</x:v>
      </x:c>
    </x:row>
    <x:row r="256">
      <x:c r="A256" t="str">
        <x:v>SYN-0255</x:v>
      </x:c>
      <x:c r="B256" s="12" t="n">
        <x:v>46240</x:v>
      </x:c>
      <x:c r="C256" t="str">
        <x:v>Synthetic Yad2-like Listing</x:v>
      </x:c>
      <x:c r="D256" t="str">
        <x:v>https://example.com/listings/SYN-0255</x:v>
      </x:c>
      <x:c r="E256" t="str">
        <x:v>Second Hand</x:v>
      </x:c>
      <x:c r="F256" t="str"/>
      <x:c r="G256" t="str"/>
      <x:c r="H256" t="str">
        <x:v>Lissin 90, Tel Aviv</x:v>
      </x:c>
      <x:c r="I256" t="str">
        <x:v>Tel Aviv</x:v>
      </x:c>
      <x:c r="J256" t="str">
        <x:v>Kikar HaMedina / New North</x:v>
      </x:c>
      <x:c r="K256" s="14" t="n">
        <x:v>0.74</x:v>
      </x:c>
      <x:c r="L256" t="str">
        <x:v>Apartment</x:v>
      </x:c>
      <x:c r="M256" t="n">
        <x:v>4</x:v>
      </x:c>
      <x:c r="N256" s="16" t="n">
        <x:v>106.9</x:v>
      </x:c>
      <x:c r="O256" t="n">
        <x:v>2</x:v>
      </x:c>
      <x:c r="P256" t="n">
        <x:v>17</x:v>
      </x:c>
      <x:c r="Q256" s="18" t="n">
        <x:v>7840000</x:v>
      </x:c>
      <x:c r="R256" s="18" t="n">
        <x:f>IFERROR(Q256/N256,"")</x:f>
        <x:v>73339.56969130028</x:v>
      </x:c>
      <x:c r="S256" t="n">
        <x:v>2016</x:v>
      </x:c>
      <x:c r="T256" t="n">
        <x:v>10</x:v>
      </x:c>
      <x:c r="U256" t="str">
        <x:v>Renovated</x:v>
      </x:c>
      <x:c r="V256" s="16" t="n">
        <x:v>13.8</x:v>
      </x:c>
      <x:c r="W256" t="str">
        <x:v>East</x:v>
      </x:c>
      <x:c r="X256" t="n">
        <x:v>1</x:v>
      </x:c>
      <x:c r="Y256" s="16" t="n">
        <x:v>0</x:v>
      </x:c>
      <x:c r="Z256" s="1" t="b">
        <x:v>1</x:v>
      </x:c>
      <x:c r="AA256" t="str">
        <x:v>East, North</x:v>
      </x:c>
      <x:c r="AB256" s="16" t="n">
        <x:v>0</x:v>
      </x:c>
      <x:c r="AC256" s="16" t="n">
        <x:v>0</x:v>
      </x:c>
      <x:c r="AD256" s="1" t="b">
        <x:v>0</x:v>
      </x:c>
    </x:row>
    <x:row r="257">
      <x:c r="A257" t="str">
        <x:v>SYN-0256</x:v>
      </x:c>
      <x:c r="B257" s="12" t="n">
        <x:v>46254</x:v>
      </x:c>
      <x:c r="C257" t="str">
        <x:v>Synthetic New-Project Listing</x:v>
      </x:c>
      <x:c r="D257" t="str">
        <x:v>https://example.com/listings/SYN-0256</x:v>
      </x:c>
      <x:c r="E257" t="str">
        <x:v>New Project</x:v>
      </x:c>
      <x:c r="F257" t="str">
        <x:v>North TLV Living</x:v>
      </x:c>
      <x:c r="G257" t="str">
        <x:v>Sample Development D</x:v>
      </x:c>
      <x:c r="H257" t="str">
        <x:v>Biltmore 17, Tel Aviv</x:v>
      </x:c>
      <x:c r="I257" t="str">
        <x:v>Tel Aviv</x:v>
      </x:c>
      <x:c r="J257" t="str">
        <x:v>Kikar HaMedina / New North</x:v>
      </x:c>
      <x:c r="K257" s="14" t="n">
        <x:v>0.92</x:v>
      </x:c>
      <x:c r="L257" t="str">
        <x:v>Apartment</x:v>
      </x:c>
      <x:c r="M257" t="n">
        <x:v>2</x:v>
      </x:c>
      <x:c r="N257" s="16" t="n">
        <x:v>57.4</x:v>
      </x:c>
      <x:c r="O257" t="n">
        <x:v>12</x:v>
      </x:c>
      <x:c r="P257" t="n">
        <x:v>13</x:v>
      </x:c>
      <x:c r="Q257" s="18" t="n">
        <x:v>4980000</x:v>
      </x:c>
      <x:c r="R257" s="18" t="n">
        <x:f>IFERROR(Q257/N257,"")</x:f>
        <x:v>86759.5818815331</x:v>
      </x:c>
      <x:c r="S257" t="n">
        <x:v>2025</x:v>
      </x:c>
      <x:c r="T257" t="n">
        <x:v>1</x:v>
      </x:c>
      <x:c r="U257" t="str">
        <x:v>New</x:v>
      </x:c>
      <x:c r="V257" s="16" t="n">
        <x:v>16.5</x:v>
      </x:c>
      <x:c r="W257" t="str">
        <x:v>South-East</x:v>
      </x:c>
      <x:c r="X257" t="n">
        <x:v>1</x:v>
      </x:c>
      <x:c r="Y257" s="16" t="n">
        <x:v>4.7</x:v>
      </x:c>
      <x:c r="Z257" s="1" t="b">
        <x:v>1</x:v>
      </x:c>
      <x:c r="AA257" t="str">
        <x:v>South-East, South</x:v>
      </x:c>
      <x:c r="AB257" s="16" t="n">
        <x:v>0</x:v>
      </x:c>
      <x:c r="AC257" s="16" t="n">
        <x:v>0</x:v>
      </x:c>
      <x:c r="AD257" s="1" t="b">
        <x:v>1</x:v>
      </x:c>
    </x:row>
    <x:row r="258">
      <x:c r="A258" t="str">
        <x:v>SYN-0257</x:v>
      </x:c>
      <x:c r="B258" s="12" t="n">
        <x:v>46256</x:v>
      </x:c>
      <x:c r="C258" t="str">
        <x:v>Synthetic New-Project Listing</x:v>
      </x:c>
      <x:c r="D258" t="str">
        <x:v>https://example.com/listings/SYN-0257</x:v>
      </x:c>
      <x:c r="E258" t="str">
        <x:v>New Project</x:v>
      </x:c>
      <x:c r="F258" t="str">
        <x:v>North TLV Living</x:v>
      </x:c>
      <x:c r="G258" t="str">
        <x:v>Sample Development D</x:v>
      </x:c>
      <x:c r="H258" t="str">
        <x:v>Weizmann 153, Tel Aviv</x:v>
      </x:c>
      <x:c r="I258" t="str">
        <x:v>Tel Aviv</x:v>
      </x:c>
      <x:c r="J258" t="str">
        <x:v>Kikar HaMedina / New North</x:v>
      </x:c>
      <x:c r="K258" s="14" t="n">
        <x:v>0.15</x:v>
      </x:c>
      <x:c r="L258" t="str">
        <x:v>Apartment</x:v>
      </x:c>
      <x:c r="M258" t="n">
        <x:v>4</x:v>
      </x:c>
      <x:c r="N258" s="16" t="n">
        <x:v>91.5</x:v>
      </x:c>
      <x:c r="O258" t="n">
        <x:v>10</x:v>
      </x:c>
      <x:c r="P258" t="n">
        <x:v>12</x:v>
      </x:c>
      <x:c r="Q258" s="18" t="n">
        <x:v>7340000</x:v>
      </x:c>
      <x:c r="R258" s="18" t="n">
        <x:f>IFERROR(Q258/N258,"")</x:f>
        <x:v>80218.57923497268</x:v>
      </x:c>
      <x:c r="S258" t="n">
        <x:v>2026</x:v>
      </x:c>
      <x:c r="T258" t="n">
        <x:v>0</x:v>
      </x:c>
      <x:c r="U258" t="str">
        <x:v>New</x:v>
      </x:c>
      <x:c r="V258" s="16" t="n">
        <x:v>9.8</x:v>
      </x:c>
      <x:c r="W258" t="str">
        <x:v>South-West</x:v>
      </x:c>
      <x:c r="X258" t="n">
        <x:v>1</x:v>
      </x:c>
      <x:c r="Y258" s="16" t="n">
        <x:v>6.1</x:v>
      </x:c>
      <x:c r="Z258" s="1" t="b">
        <x:v>1</x:v>
      </x:c>
      <x:c r="AA258" t="str">
        <x:v>South-West, East</x:v>
      </x:c>
      <x:c r="AB258" s="16" t="n">
        <x:v>0</x:v>
      </x:c>
      <x:c r="AC258" s="16" t="n">
        <x:v>0</x:v>
      </x:c>
      <x:c r="AD258" s="1" t="b">
        <x:v>0</x:v>
      </x:c>
    </x:row>
    <x:row r="259">
      <x:c r="A259" t="str">
        <x:v>SYN-0258</x:v>
      </x:c>
      <x:c r="B259" s="12" t="n">
        <x:v>46222</x:v>
      </x:c>
      <x:c r="C259" t="str">
        <x:v>Synthetic New-Project Listing</x:v>
      </x:c>
      <x:c r="D259" t="str">
        <x:v>https://example.com/listings/SYN-0258</x:v>
      </x:c>
      <x:c r="E259" t="str">
        <x:v>New Project</x:v>
      </x:c>
      <x:c r="F259" t="str">
        <x:v>Helsinki Gardens</x:v>
      </x:c>
      <x:c r="G259" t="str">
        <x:v>Sample Development C</x:v>
      </x:c>
      <x:c r="H259" t="str">
        <x:v>Biltmore 89, Tel Aviv</x:v>
      </x:c>
      <x:c r="I259" t="str">
        <x:v>Tel Aviv</x:v>
      </x:c>
      <x:c r="J259" t="str">
        <x:v>Kikar HaMedina / New North</x:v>
      </x:c>
      <x:c r="K259" s="14" t="n">
        <x:v>0.83</x:v>
      </x:c>
      <x:c r="L259" t="str">
        <x:v>Apartment</x:v>
      </x:c>
      <x:c r="M259" t="n">
        <x:v>4</x:v>
      </x:c>
      <x:c r="N259" s="16" t="n">
        <x:v>103.1</x:v>
      </x:c>
      <x:c r="O259" t="n">
        <x:v>12</x:v>
      </x:c>
      <x:c r="P259" t="n">
        <x:v>13</x:v>
      </x:c>
      <x:c r="Q259" s="18" t="n">
        <x:v>8780000</x:v>
      </x:c>
      <x:c r="R259" s="18" t="n">
        <x:f>IFERROR(Q259/N259,"")</x:f>
        <x:v>85160.0387972842</x:v>
      </x:c>
      <x:c r="S259" t="n">
        <x:v>2027</x:v>
      </x:c>
      <x:c r="T259" t="n">
        <x:v>0</x:v>
      </x:c>
      <x:c r="U259" t="str">
        <x:v>New</x:v>
      </x:c>
      <x:c r="V259" s="16" t="n">
        <x:v>12.7</x:v>
      </x:c>
      <x:c r="W259" t="str">
        <x:v>South-West</x:v>
      </x:c>
      <x:c r="X259" t="n">
        <x:v>1</x:v>
      </x:c>
      <x:c r="Y259" s="16" t="n">
        <x:v>5.2</x:v>
      </x:c>
      <x:c r="Z259" s="1" t="b">
        <x:v>1</x:v>
      </x:c>
      <x:c r="AA259" t="str">
        <x:v>South-West, South</x:v>
      </x:c>
      <x:c r="AB259" s="16" t="n">
        <x:v>0</x:v>
      </x:c>
      <x:c r="AC259" s="16" t="n">
        <x:v>0</x:v>
      </x:c>
      <x:c r="AD259" s="1" t="b">
        <x:v>1</x:v>
      </x:c>
    </x:row>
    <x:row r="260">
      <x:c r="A260" t="str">
        <x:v>SYN-0259</x:v>
      </x:c>
      <x:c r="B260" s="12" t="n">
        <x:v>46213</x:v>
      </x:c>
      <x:c r="C260" t="str">
        <x:v>Synthetic New-Project Listing</x:v>
      </x:c>
      <x:c r="D260" t="str">
        <x:v>https://example.com/listings/SYN-0259</x:v>
      </x:c>
      <x:c r="E260" t="str">
        <x:v>New Project</x:v>
      </x:c>
      <x:c r="F260" t="str">
        <x:v>North TLV Living</x:v>
      </x:c>
      <x:c r="G260" t="str">
        <x:v>Sample Development D</x:v>
      </x:c>
      <x:c r="H260" t="str">
        <x:v>Biltmore 45, Tel Aviv</x:v>
      </x:c>
      <x:c r="I260" t="str">
        <x:v>Tel Aviv</x:v>
      </x:c>
      <x:c r="J260" t="str">
        <x:v>Kikar HaMedina / New North</x:v>
      </x:c>
      <x:c r="K260" s="14" t="n">
        <x:v>0.85</x:v>
      </x:c>
      <x:c r="L260" t="str">
        <x:v>Apartment</x:v>
      </x:c>
      <x:c r="M260" t="n">
        <x:v>5</x:v>
      </x:c>
      <x:c r="N260" s="16" t="n">
        <x:v>137.2</x:v>
      </x:c>
      <x:c r="O260" t="n">
        <x:v>0</x:v>
      </x:c>
      <x:c r="P260" t="n">
        <x:v>15</x:v>
      </x:c>
      <x:c r="Q260" s="18" t="n">
        <x:v>10620000</x:v>
      </x:c>
      <x:c r="R260" s="18" t="n">
        <x:f>IFERROR(Q260/N260,"")</x:f>
        <x:v>77405.24781341109</x:v>
      </x:c>
      <x:c r="S260" t="n">
        <x:v>2026</x:v>
      </x:c>
      <x:c r="T260" t="n">
        <x:v>0</x:v>
      </x:c>
      <x:c r="U260" t="str">
        <x:v>New</x:v>
      </x:c>
      <x:c r="V260" s="16" t="n">
        <x:v>14.8</x:v>
      </x:c>
      <x:c r="W260" t="str">
        <x:v>North</x:v>
      </x:c>
      <x:c r="X260" t="n">
        <x:v>1</x:v>
      </x:c>
      <x:c r="Y260" s="16" t="n">
        <x:v>5.2</x:v>
      </x:c>
      <x:c r="Z260" s="1" t="b">
        <x:v>1</x:v>
      </x:c>
      <x:c r="AA260" t="str">
        <x:v>North, South</x:v>
      </x:c>
      <x:c r="AB260" s="16" t="n">
        <x:v>0</x:v>
      </x:c>
      <x:c r="AC260" s="16" t="n">
        <x:v>0</x:v>
      </x:c>
      <x:c r="AD260" s="1" t="b">
        <x:v>0</x:v>
      </x:c>
    </x:row>
    <x:row r="261">
      <x:c r="A261" t="str">
        <x:v>SYN-0260</x:v>
      </x:c>
      <x:c r="B261" s="12" t="n">
        <x:v>46215</x:v>
      </x:c>
      <x:c r="C261" t="str">
        <x:v>Synthetic New-Project Listing</x:v>
      </x:c>
      <x:c r="D261" t="str">
        <x:v>https://example.com/listings/SYN-0260</x:v>
      </x:c>
      <x:c r="E261" t="str">
        <x:v>New Project</x:v>
      </x:c>
      <x:c r="F261" t="str">
        <x:v>Medina Boutique</x:v>
      </x:c>
      <x:c r="G261" t="str">
        <x:v>Sample Development E</x:v>
      </x:c>
      <x:c r="H261" t="str">
        <x:v>Biltmore 160, Tel Aviv</x:v>
      </x:c>
      <x:c r="I261" t="str">
        <x:v>Tel Aviv</x:v>
      </x:c>
      <x:c r="J261" t="str">
        <x:v>Kikar HaMedina / New North</x:v>
      </x:c>
      <x:c r="K261" s="14" t="n">
        <x:v>0.92</x:v>
      </x:c>
      <x:c r="L261" t="str">
        <x:v>Apartment</x:v>
      </x:c>
      <x:c r="M261" t="n">
        <x:v>5</x:v>
      </x:c>
      <x:c r="N261" s="16" t="n">
        <x:v>115.3</x:v>
      </x:c>
      <x:c r="O261" t="n">
        <x:v>0</x:v>
      </x:c>
      <x:c r="P261" t="n">
        <x:v>5</x:v>
      </x:c>
      <x:c r="Q261" s="18" t="n">
        <x:v>8890000</x:v>
      </x:c>
      <x:c r="R261" s="18" t="n">
        <x:f>IFERROR(Q261/N261,"")</x:f>
        <x:v>77103.20901994796</x:v>
      </x:c>
      <x:c r="S261" t="n">
        <x:v>2027</x:v>
      </x:c>
      <x:c r="T261" t="n">
        <x:v>0</x:v>
      </x:c>
      <x:c r="U261" t="str">
        <x:v>New</x:v>
      </x:c>
      <x:c r="V261" s="16" t="n">
        <x:v>23.8</x:v>
      </x:c>
      <x:c r="W261" t="str">
        <x:v>East</x:v>
      </x:c>
      <x:c r="X261" t="n">
        <x:v>1</x:v>
      </x:c>
      <x:c r="Y261" s="16" t="n">
        <x:v>6.2</x:v>
      </x:c>
      <x:c r="Z261" s="1" t="b">
        <x:v>1</x:v>
      </x:c>
      <x:c r="AA261" t="str">
        <x:v>East</x:v>
      </x:c>
      <x:c r="AB261" s="16" t="n">
        <x:v>0</x:v>
      </x:c>
      <x:c r="AC261" s="16" t="n">
        <x:v>0</x:v>
      </x:c>
      <x:c r="AD261" s="1" t="b">
        <x:v>0</x:v>
      </x:c>
    </x:row>
    <x:row r="262">
      <x:c r="A262" t="str">
        <x:v>SYN-0261</x:v>
      </x:c>
      <x:c r="B262" s="12" t="n">
        <x:v>46209</x:v>
      </x:c>
      <x:c r="C262" t="str">
        <x:v>Synthetic Yad2-like Listing</x:v>
      </x:c>
      <x:c r="D262" t="str">
        <x:v>https://example.com/listings/SYN-0261</x:v>
      </x:c>
      <x:c r="E262" t="str">
        <x:v>Second Hand</x:v>
      </x:c>
      <x:c r="F262" t="str"/>
      <x:c r="G262" t="str"/>
      <x:c r="H262" t="str">
        <x:v>Lissin 135, Tel Aviv</x:v>
      </x:c>
      <x:c r="I262" t="str">
        <x:v>Tel Aviv</x:v>
      </x:c>
      <x:c r="J262" t="str">
        <x:v>Kikar HaMedina / New North</x:v>
      </x:c>
      <x:c r="K262" s="14" t="n">
        <x:v>0.68</x:v>
      </x:c>
      <x:c r="L262" t="str">
        <x:v>Apartment</x:v>
      </x:c>
      <x:c r="M262" t="n">
        <x:v>2</x:v>
      </x:c>
      <x:c r="N262" s="16" t="n">
        <x:v>53</x:v>
      </x:c>
      <x:c r="O262" t="n">
        <x:v>11</x:v>
      </x:c>
      <x:c r="P262" t="n">
        <x:v>13</x:v>
      </x:c>
      <x:c r="Q262" s="18" t="n">
        <x:v>3890000</x:v>
      </x:c>
      <x:c r="R262" s="18" t="n">
        <x:f>IFERROR(Q262/N262,"")</x:f>
        <x:v>73396.22641509434</x:v>
      </x:c>
      <x:c r="S262" t="n">
        <x:v>1983</x:v>
      </x:c>
      <x:c r="T262" t="n">
        <x:v>43</x:v>
      </x:c>
      <x:c r="U262" t="str">
        <x:v>Renovated</x:v>
      </x:c>
      <x:c r="V262" s="16" t="n">
        <x:v>0</x:v>
      </x:c>
      <x:c r="W262" t="str"/>
      <x:c r="X262" t="n">
        <x:v>1</x:v>
      </x:c>
      <x:c r="Y262" s="16" t="n">
        <x:v>3.3</x:v>
      </x:c>
      <x:c r="Z262" s="1" t="b">
        <x:v>1</x:v>
      </x:c>
      <x:c r="AA262" t="str">
        <x:v>South</x:v>
      </x:c>
      <x:c r="AB262" s="16" t="n">
        <x:v>0</x:v>
      </x:c>
      <x:c r="AC262" s="16" t="n">
        <x:v>0</x:v>
      </x:c>
      <x:c r="AD262" s="1" t="b">
        <x:v>0</x:v>
      </x:c>
    </x:row>
    <x:row r="263">
      <x:c r="A263" t="str">
        <x:v>SYN-0262</x:v>
      </x:c>
      <x:c r="B263" s="12" t="n">
        <x:v>46242</x:v>
      </x:c>
      <x:c r="C263" t="str">
        <x:v>Synthetic Yad2-like Listing</x:v>
      </x:c>
      <x:c r="D263" t="str">
        <x:v>https://example.com/listings/SYN-0262</x:v>
      </x:c>
      <x:c r="E263" t="str">
        <x:v>Second Hand</x:v>
      </x:c>
      <x:c r="F263" t="str"/>
      <x:c r="G263" t="str"/>
      <x:c r="H263" t="str">
        <x:v>Biltmore 91, Tel Aviv</x:v>
      </x:c>
      <x:c r="I263" t="str">
        <x:v>Tel Aviv</x:v>
      </x:c>
      <x:c r="J263" t="str">
        <x:v>Kikar HaMedina / New North</x:v>
      </x:c>
      <x:c r="K263" s="14" t="n">
        <x:v>0.89</x:v>
      </x:c>
      <x:c r="L263" t="str">
        <x:v>Apartment</x:v>
      </x:c>
      <x:c r="M263" t="n">
        <x:v>4</x:v>
      </x:c>
      <x:c r="N263" s="16" t="n">
        <x:v>92.9</x:v>
      </x:c>
      <x:c r="O263" t="n">
        <x:v>10</x:v>
      </x:c>
      <x:c r="P263" t="n">
        <x:v>12</x:v>
      </x:c>
      <x:c r="Q263" s="18" t="n">
        <x:v>6570000</x:v>
      </x:c>
      <x:c r="R263" s="18" t="n">
        <x:f>IFERROR(Q263/N263,"")</x:f>
        <x:v>70721.20559741657</x:v>
      </x:c>
      <x:c r="S263" t="n">
        <x:v>1996</x:v>
      </x:c>
      <x:c r="T263" t="n">
        <x:v>30</x:v>
      </x:c>
      <x:c r="U263" t="str">
        <x:v>Good</x:v>
      </x:c>
      <x:c r="V263" s="16" t="n">
        <x:v>17.8</x:v>
      </x:c>
      <x:c r="W263" t="str">
        <x:v>North-West</x:v>
      </x:c>
      <x:c r="X263" t="n">
        <x:v>1</x:v>
      </x:c>
      <x:c r="Y263" s="16" t="n">
        <x:v>6.2</x:v>
      </x:c>
      <x:c r="Z263" s="1" t="b">
        <x:v>0</x:v>
      </x:c>
      <x:c r="AA263" t="str">
        <x:v>North-West</x:v>
      </x:c>
      <x:c r="AB263" s="16" t="n">
        <x:v>0</x:v>
      </x:c>
      <x:c r="AC263" s="16" t="n">
        <x:v>0</x:v>
      </x:c>
      <x:c r="AD263" s="1" t="b">
        <x:v>0</x:v>
      </x:c>
    </x:row>
    <x:row r="264">
      <x:c r="A264" t="str">
        <x:v>SYN-0263</x:v>
      </x:c>
      <x:c r="B264" s="12" t="n">
        <x:v>46246</x:v>
      </x:c>
      <x:c r="C264" t="str">
        <x:v>Synthetic Yad2-like Listing</x:v>
      </x:c>
      <x:c r="D264" t="str">
        <x:v>https://example.com/listings/SYN-0263</x:v>
      </x:c>
      <x:c r="E264" t="str">
        <x:v>Second Hand</x:v>
      </x:c>
      <x:c r="F264" t="str"/>
      <x:c r="G264" t="str"/>
      <x:c r="H264" t="str">
        <x:v>Epstein 4, Tel Aviv</x:v>
      </x:c>
      <x:c r="I264" t="str">
        <x:v>Tel Aviv</x:v>
      </x:c>
      <x:c r="J264" t="str">
        <x:v>Kikar HaMedina / New North</x:v>
      </x:c>
      <x:c r="K264" s="14" t="n">
        <x:v>0.82</x:v>
      </x:c>
      <x:c r="L264" t="str">
        <x:v>Apartment</x:v>
      </x:c>
      <x:c r="M264" t="n">
        <x:v>4</x:v>
      </x:c>
      <x:c r="N264" s="16" t="n">
        <x:v>99.3</x:v>
      </x:c>
      <x:c r="O264" t="n">
        <x:v>0</x:v>
      </x:c>
      <x:c r="P264" t="n">
        <x:v>14</x:v>
      </x:c>
      <x:c r="Q264" s="18" t="n">
        <x:v>7360000</x:v>
      </x:c>
      <x:c r="R264" s="18" t="n">
        <x:f>IFERROR(Q264/N264,"")</x:f>
        <x:v>74118.83182275931</x:v>
      </x:c>
      <x:c r="S264" t="n">
        <x:v>1977</x:v>
      </x:c>
      <x:c r="T264" t="n">
        <x:v>49</x:v>
      </x:c>
      <x:c r="U264" t="str">
        <x:v>Renovated</x:v>
      </x:c>
      <x:c r="V264" s="16" t="n">
        <x:v>23.8</x:v>
      </x:c>
      <x:c r="W264" t="str">
        <x:v>North</x:v>
      </x:c>
      <x:c r="X264" t="n">
        <x:v>1</x:v>
      </x:c>
      <x:c r="Y264" s="16" t="n">
        <x:v>6.5</x:v>
      </x:c>
      <x:c r="Z264" s="1" t="b">
        <x:v>1</x:v>
      </x:c>
      <x:c r="AA264" t="str">
        <x:v>North, North</x:v>
      </x:c>
      <x:c r="AB264" s="16" t="n">
        <x:v>0</x:v>
      </x:c>
      <x:c r="AC264" s="16" t="n">
        <x:v>0</x:v>
      </x:c>
      <x:c r="AD264" s="1" t="b">
        <x:v>0</x:v>
      </x:c>
    </x:row>
    <x:row r="265">
      <x:c r="A265" t="str">
        <x:v>SYN-0264</x:v>
      </x:c>
      <x:c r="B265" s="12" t="n">
        <x:v>46250</x:v>
      </x:c>
      <x:c r="C265" t="str">
        <x:v>Synthetic Yad2-like Listing</x:v>
      </x:c>
      <x:c r="D265" t="str">
        <x:v>https://example.com/listings/SYN-0264</x:v>
      </x:c>
      <x:c r="E265" t="str">
        <x:v>Second Hand</x:v>
      </x:c>
      <x:c r="F265" t="str"/>
      <x:c r="G265" t="str"/>
      <x:c r="H265" t="str">
        <x:v>Biltmore 99, Tel Aviv</x:v>
      </x:c>
      <x:c r="I265" t="str">
        <x:v>Tel Aviv</x:v>
      </x:c>
      <x:c r="J265" t="str">
        <x:v>Kikar HaMedina / New North</x:v>
      </x:c>
      <x:c r="K265" s="14" t="n">
        <x:v>0.99</x:v>
      </x:c>
      <x:c r="L265" t="str">
        <x:v>Apartment</x:v>
      </x:c>
      <x:c r="M265" t="n">
        <x:v>5</x:v>
      </x:c>
      <x:c r="N265" s="16" t="n">
        <x:v>118.8</x:v>
      </x:c>
      <x:c r="O265" t="n">
        <x:v>11</x:v>
      </x:c>
      <x:c r="P265" t="n">
        <x:v>13</x:v>
      </x:c>
      <x:c r="Q265" s="18" t="n">
        <x:v>8030000</x:v>
      </x:c>
      <x:c r="R265" s="18" t="n">
        <x:f>IFERROR(Q265/N265,"")</x:f>
        <x:v>67592.5925925926</x:v>
      </x:c>
      <x:c r="S265" t="n">
        <x:v>1991</x:v>
      </x:c>
      <x:c r="T265" t="n">
        <x:v>35</x:v>
      </x:c>
      <x:c r="U265" t="str">
        <x:v>Good</x:v>
      </x:c>
      <x:c r="V265" s="16" t="n">
        <x:v>0</x:v>
      </x:c>
      <x:c r="W265" t="str"/>
      <x:c r="X265" t="n">
        <x:v>2</x:v>
      </x:c>
      <x:c r="Y265" s="16" t="n">
        <x:v>9.5</x:v>
      </x:c>
      <x:c r="Z265" s="1" t="b">
        <x:v>1</x:v>
      </x:c>
      <x:c r="AA265" t="str">
        <x:v>South</x:v>
      </x:c>
      <x:c r="AB265" s="16" t="n">
        <x:v>0</x:v>
      </x:c>
      <x:c r="AC265" s="16" t="n">
        <x:v>0</x:v>
      </x:c>
      <x:c r="AD265" s="1" t="b">
        <x:v>0</x:v>
      </x:c>
    </x:row>
    <x:row r="266">
      <x:c r="A266" t="str">
        <x:v>SYN-0265</x:v>
      </x:c>
      <x:c r="B266" s="12" t="n">
        <x:v>46210</x:v>
      </x:c>
      <x:c r="C266" t="str">
        <x:v>Synthetic Yad2-like Listing</x:v>
      </x:c>
      <x:c r="D266" t="str">
        <x:v>https://example.com/listings/SYN-0265</x:v>
      </x:c>
      <x:c r="E266" t="str">
        <x:v>Second Hand</x:v>
      </x:c>
      <x:c r="F266" t="str"/>
      <x:c r="G266" t="str"/>
      <x:c r="H266" t="str">
        <x:v>Biltmore 115, Tel Aviv</x:v>
      </x:c>
      <x:c r="I266" t="str">
        <x:v>Tel Aviv</x:v>
      </x:c>
      <x:c r="J266" t="str">
        <x:v>Kikar HaMedina / New North</x:v>
      </x:c>
      <x:c r="K266" s="14" t="n">
        <x:v>0.99</x:v>
      </x:c>
      <x:c r="L266" t="str">
        <x:v>Apartment</x:v>
      </x:c>
      <x:c r="M266" t="n">
        <x:v>2</x:v>
      </x:c>
      <x:c r="N266" s="16" t="n">
        <x:v>49.7</x:v>
      </x:c>
      <x:c r="O266" t="n">
        <x:v>1</x:v>
      </x:c>
      <x:c r="P266" t="n">
        <x:v>4</x:v>
      </x:c>
      <x:c r="Q266" s="18" t="n">
        <x:v>3620000</x:v>
      </x:c>
      <x:c r="R266" s="18" t="n">
        <x:f>IFERROR(Q266/N266,"")</x:f>
        <x:v>72837.02213279677</x:v>
      </x:c>
      <x:c r="S266" t="n">
        <x:v>1969</x:v>
      </x:c>
      <x:c r="T266" t="n">
        <x:v>57</x:v>
      </x:c>
      <x:c r="U266" t="str">
        <x:v>Good</x:v>
      </x:c>
      <x:c r="V266" s="16" t="n">
        <x:v>12.8</x:v>
      </x:c>
      <x:c r="W266" t="str">
        <x:v>West</x:v>
      </x:c>
      <x:c r="X266" t="n">
        <x:v>1</x:v>
      </x:c>
      <x:c r="Y266" s="16" t="n">
        <x:v>0</x:v>
      </x:c>
      <x:c r="Z266" s="1" t="b">
        <x:v>1</x:v>
      </x:c>
      <x:c r="AA266" t="str">
        <x:v>West, West</x:v>
      </x:c>
      <x:c r="AB266" s="16" t="n">
        <x:v>0</x:v>
      </x:c>
      <x:c r="AC266" s="16" t="n">
        <x:v>0</x:v>
      </x:c>
      <x:c r="AD266" s="1" t="b">
        <x:v>0</x:v>
      </x:c>
    </x:row>
    <x:row r="267">
      <x:c r="A267" t="str">
        <x:v>SYN-0266</x:v>
      </x:c>
      <x:c r="B267" s="12" t="n">
        <x:v>46215</x:v>
      </x:c>
      <x:c r="C267" t="str">
        <x:v>Synthetic Yad2-like Listing</x:v>
      </x:c>
      <x:c r="D267" t="str">
        <x:v>https://example.com/listings/SYN-0266</x:v>
      </x:c>
      <x:c r="E267" t="str">
        <x:v>Second Hand</x:v>
      </x:c>
      <x:c r="F267" t="str"/>
      <x:c r="G267" t="str"/>
      <x:c r="H267" t="str">
        <x:v>Jabotinsky 173, Tel Aviv</x:v>
      </x:c>
      <x:c r="I267" t="str">
        <x:v>Tel Aviv</x:v>
      </x:c>
      <x:c r="J267" t="str">
        <x:v>Kikar HaMedina / New North</x:v>
      </x:c>
      <x:c r="K267" s="14" t="n">
        <x:v>0.56</x:v>
      </x:c>
      <x:c r="L267" t="str">
        <x:v>Apartment</x:v>
      </x:c>
      <x:c r="M267" t="n">
        <x:v>4</x:v>
      </x:c>
      <x:c r="N267" s="16" t="n">
        <x:v>107.1</x:v>
      </x:c>
      <x:c r="O267" t="n">
        <x:v>6</x:v>
      </x:c>
      <x:c r="P267" t="n">
        <x:v>16</x:v>
      </x:c>
      <x:c r="Q267" s="18" t="n">
        <x:v>7050000</x:v>
      </x:c>
      <x:c r="R267" s="18" t="n">
        <x:f>IFERROR(Q267/N267,"")</x:f>
        <x:v>65826.33053221289</x:v>
      </x:c>
      <x:c r="S267" t="n">
        <x:v>1985</x:v>
      </x:c>
      <x:c r="T267" t="n">
        <x:v>41</x:v>
      </x:c>
      <x:c r="U267" t="str">
        <x:v>Good</x:v>
      </x:c>
      <x:c r="V267" s="16" t="n">
        <x:v>0</x:v>
      </x:c>
      <x:c r="W267" t="str"/>
      <x:c r="X267" t="n">
        <x:v>1</x:v>
      </x:c>
      <x:c r="Y267" s="16" t="n">
        <x:v>3.7</x:v>
      </x:c>
      <x:c r="Z267" s="1" t="b">
        <x:v>1</x:v>
      </x:c>
      <x:c r="AA267" t="str">
        <x:v>West</x:v>
      </x:c>
      <x:c r="AB267" s="16" t="n">
        <x:v>0</x:v>
      </x:c>
      <x:c r="AC267" s="16" t="n">
        <x:v>0</x:v>
      </x:c>
      <x:c r="AD267" s="1" t="b">
        <x:v>0</x:v>
      </x:c>
    </x:row>
    <x:row r="268">
      <x:c r="A268" t="str">
        <x:v>SYN-0267</x:v>
      </x:c>
      <x:c r="B268" s="12" t="n">
        <x:v>46212</x:v>
      </x:c>
      <x:c r="C268" t="str">
        <x:v>Synthetic New-Project Listing</x:v>
      </x:c>
      <x:c r="D268" t="str">
        <x:v>https://example.com/listings/SYN-0267</x:v>
      </x:c>
      <x:c r="E268" t="str">
        <x:v>New Project</x:v>
      </x:c>
      <x:c r="F268" t="str">
        <x:v>Medina Boutique</x:v>
      </x:c>
      <x:c r="G268" t="str">
        <x:v>Sample Development E</x:v>
      </x:c>
      <x:c r="H268" t="str">
        <x:v>Weizmann 56, Tel Aviv</x:v>
      </x:c>
      <x:c r="I268" t="str">
        <x:v>Tel Aviv</x:v>
      </x:c>
      <x:c r="J268" t="str">
        <x:v>Kikar HaMedina / New North</x:v>
      </x:c>
      <x:c r="K268" s="14" t="n">
        <x:v>0.35</x:v>
      </x:c>
      <x:c r="L268" t="str">
        <x:v>Apartment</x:v>
      </x:c>
      <x:c r="M268" t="n">
        <x:v>2</x:v>
      </x:c>
      <x:c r="N268" s="16" t="n">
        <x:v>46.1</x:v>
      </x:c>
      <x:c r="O268" t="n">
        <x:v>1</x:v>
      </x:c>
      <x:c r="P268" t="n">
        <x:v>4</x:v>
      </x:c>
      <x:c r="Q268" s="18" t="n">
        <x:v>4350000</x:v>
      </x:c>
      <x:c r="R268" s="18" t="n">
        <x:f>IFERROR(Q268/N268,"")</x:f>
        <x:v>94360.08676789587</x:v>
      </x:c>
      <x:c r="S268" t="n">
        <x:v>2025</x:v>
      </x:c>
      <x:c r="T268" t="n">
        <x:v>1</x:v>
      </x:c>
      <x:c r="U268" t="str">
        <x:v>New</x:v>
      </x:c>
      <x:c r="V268" s="16" t="n">
        <x:v>19</x:v>
      </x:c>
      <x:c r="W268" t="str">
        <x:v>North-West</x:v>
      </x:c>
      <x:c r="X268" t="n">
        <x:v>1</x:v>
      </x:c>
      <x:c r="Y268" s="16" t="n">
        <x:v>4.4</x:v>
      </x:c>
      <x:c r="Z268" s="1" t="b">
        <x:v>1</x:v>
      </x:c>
      <x:c r="AA268" t="str">
        <x:v>North-West, West</x:v>
      </x:c>
      <x:c r="AB268" s="16" t="n">
        <x:v>0</x:v>
      </x:c>
      <x:c r="AC268" s="16" t="n">
        <x:v>0</x:v>
      </x:c>
      <x:c r="AD268" s="1" t="b">
        <x:v>0</x:v>
      </x:c>
    </x:row>
    <x:row r="269">
      <x:c r="A269" t="str">
        <x:v>SYN-0268</x:v>
      </x:c>
      <x:c r="B269" s="12" t="n">
        <x:v>46207</x:v>
      </x:c>
      <x:c r="C269" t="str">
        <x:v>Synthetic New-Project Listing</x:v>
      </x:c>
      <x:c r="D269" t="str">
        <x:v>https://example.com/listings/SYN-0268</x:v>
      </x:c>
      <x:c r="E269" t="str">
        <x:v>New Project</x:v>
      </x:c>
      <x:c r="F269" t="str">
        <x:v>North TLV Living</x:v>
      </x:c>
      <x:c r="G269" t="str">
        <x:v>Sample Development D</x:v>
      </x:c>
      <x:c r="H269" t="str">
        <x:v>Mosenzon 66, Tel Aviv</x:v>
      </x:c>
      <x:c r="I269" t="str">
        <x:v>Tel Aviv</x:v>
      </x:c>
      <x:c r="J269" t="str">
        <x:v>Kikar HaMedina / New North</x:v>
      </x:c>
      <x:c r="K269" s="14" t="n">
        <x:v>0.84</x:v>
      </x:c>
      <x:c r="L269" t="str">
        <x:v>Apartment</x:v>
      </x:c>
      <x:c r="M269" t="n">
        <x:v>4</x:v>
      </x:c>
      <x:c r="N269" s="16" t="n">
        <x:v>101</x:v>
      </x:c>
      <x:c r="O269" t="n">
        <x:v>12</x:v>
      </x:c>
      <x:c r="P269" t="n">
        <x:v>14</x:v>
      </x:c>
      <x:c r="Q269" s="18" t="n">
        <x:v>7860000</x:v>
      </x:c>
      <x:c r="R269" s="18" t="n">
        <x:f>IFERROR(Q269/N269,"")</x:f>
        <x:v>77821.78217821782</x:v>
      </x:c>
      <x:c r="S269" t="n">
        <x:v>2026</x:v>
      </x:c>
      <x:c r="T269" t="n">
        <x:v>0</x:v>
      </x:c>
      <x:c r="U269" t="str">
        <x:v>New</x:v>
      </x:c>
      <x:c r="V269" s="16" t="n">
        <x:v>15.5</x:v>
      </x:c>
      <x:c r="W269" t="str">
        <x:v>South</x:v>
      </x:c>
      <x:c r="X269" t="n">
        <x:v>1</x:v>
      </x:c>
      <x:c r="Y269" s="16" t="n">
        <x:v>0</x:v>
      </x:c>
      <x:c r="Z269" s="1" t="b">
        <x:v>1</x:v>
      </x:c>
      <x:c r="AA269" t="str">
        <x:v>South, West</x:v>
      </x:c>
      <x:c r="AB269" s="16" t="n">
        <x:v>0</x:v>
      </x:c>
      <x:c r="AC269" s="16" t="n">
        <x:v>0</x:v>
      </x:c>
      <x:c r="AD269" s="1" t="b">
        <x:v>0</x:v>
      </x:c>
    </x:row>
    <x:row r="270">
      <x:c r="A270" t="str">
        <x:v>SYN-0269</x:v>
      </x:c>
      <x:c r="B270" s="12" t="n">
        <x:v>46204</x:v>
      </x:c>
      <x:c r="C270" t="str">
        <x:v>Synthetic New-Project Listing</x:v>
      </x:c>
      <x:c r="D270" t="str">
        <x:v>https://example.com/listings/SYN-0269</x:v>
      </x:c>
      <x:c r="E270" t="str">
        <x:v>New Project</x:v>
      </x:c>
      <x:c r="F270" t="str">
        <x:v>North TLV Living</x:v>
      </x:c>
      <x:c r="G270" t="str">
        <x:v>Sample Development D</x:v>
      </x:c>
      <x:c r="H270" t="str">
        <x:v>Bavli 147, Tel Aviv</x:v>
      </x:c>
      <x:c r="I270" t="str">
        <x:v>Tel Aviv</x:v>
      </x:c>
      <x:c r="J270" t="str">
        <x:v>Kikar HaMedina / New North</x:v>
      </x:c>
      <x:c r="K270" s="14" t="n">
        <x:v>0.77</x:v>
      </x:c>
      <x:c r="L270" t="str">
        <x:v>Apartment</x:v>
      </x:c>
      <x:c r="M270" t="n">
        <x:v>5</x:v>
      </x:c>
      <x:c r="N270" s="16" t="n">
        <x:v>116.6</x:v>
      </x:c>
      <x:c r="O270" t="n">
        <x:v>1</x:v>
      </x:c>
      <x:c r="P270" t="n">
        <x:v>11</x:v>
      </x:c>
      <x:c r="Q270" s="18" t="n">
        <x:v>9410000</x:v>
      </x:c>
      <x:c r="R270" s="18" t="n">
        <x:f>IFERROR(Q270/N270,"")</x:f>
        <x:v>80703.2590051458</x:v>
      </x:c>
      <x:c r="S270" t="n">
        <x:v>2025</x:v>
      </x:c>
      <x:c r="T270" t="n">
        <x:v>1</x:v>
      </x:c>
      <x:c r="U270" t="str">
        <x:v>New</x:v>
      </x:c>
      <x:c r="V270" s="16" t="n">
        <x:v>17.4</x:v>
      </x:c>
      <x:c r="W270" t="str">
        <x:v>South-West</x:v>
      </x:c>
      <x:c r="X270" t="n">
        <x:v>1</x:v>
      </x:c>
      <x:c r="Y270" s="16" t="n">
        <x:v>7.3</x:v>
      </x:c>
      <x:c r="Z270" s="1" t="b">
        <x:v>1</x:v>
      </x:c>
      <x:c r="AA270" t="str">
        <x:v>South-West</x:v>
      </x:c>
      <x:c r="AB270" s="16" t="n">
        <x:v>0</x:v>
      </x:c>
      <x:c r="AC270" s="16" t="n">
        <x:v>0</x:v>
      </x:c>
      <x:c r="AD270" s="1" t="b">
        <x:v>0</x:v>
      </x:c>
    </x:row>
    <x:row r="271">
      <x:c r="A271" t="str">
        <x:v>SYN-0270</x:v>
      </x:c>
      <x:c r="B271" s="12" t="n">
        <x:v>46226</x:v>
      </x:c>
      <x:c r="C271" t="str">
        <x:v>Synthetic Yad2-like Listing</x:v>
      </x:c>
      <x:c r="D271" t="str">
        <x:v>https://example.com/listings/SYN-0270</x:v>
      </x:c>
      <x:c r="E271" t="str">
        <x:v>Second Hand</x:v>
      </x:c>
      <x:c r="F271" t="str"/>
      <x:c r="G271" t="str"/>
      <x:c r="H271" t="str">
        <x:v>Helsinki 99, Tel Aviv</x:v>
      </x:c>
      <x:c r="I271" t="str">
        <x:v>Tel Aviv</x:v>
      </x:c>
      <x:c r="J271" t="str">
        <x:v>Kikar HaMedina / New North</x:v>
      </x:c>
      <x:c r="K271" s="14" t="n">
        <x:v>0.12</x:v>
      </x:c>
      <x:c r="L271" t="str">
        <x:v>Apartment</x:v>
      </x:c>
      <x:c r="M271" t="n">
        <x:v>4</x:v>
      </x:c>
      <x:c r="N271" s="16" t="n">
        <x:v>93.3</x:v>
      </x:c>
      <x:c r="O271" t="n">
        <x:v>11</x:v>
      </x:c>
      <x:c r="P271" t="n">
        <x:v>14</x:v>
      </x:c>
      <x:c r="Q271" s="18" t="n">
        <x:v>6670000</x:v>
      </x:c>
      <x:c r="R271" s="18" t="n">
        <x:f>IFERROR(Q271/N271,"")</x:f>
        <x:v>71489.8177920686</x:v>
      </x:c>
      <x:c r="S271" t="n">
        <x:v>1964</x:v>
      </x:c>
      <x:c r="T271" t="n">
        <x:v>62</x:v>
      </x:c>
      <x:c r="U271" t="str">
        <x:v>Good</x:v>
      </x:c>
      <x:c r="V271" s="16" t="n">
        <x:v>16.2</x:v>
      </x:c>
      <x:c r="W271" t="str">
        <x:v>South-West</x:v>
      </x:c>
      <x:c r="X271" t="n">
        <x:v>1</x:v>
      </x:c>
      <x:c r="Y271" s="16" t="n">
        <x:v>8.1</x:v>
      </x:c>
      <x:c r="Z271" s="1" t="b">
        <x:v>1</x:v>
      </x:c>
      <x:c r="AA271" t="str">
        <x:v>South-West</x:v>
      </x:c>
      <x:c r="AB271" s="16" t="n">
        <x:v>0</x:v>
      </x:c>
      <x:c r="AC271" s="16" t="n">
        <x:v>0</x:v>
      </x:c>
      <x:c r="AD271" s="1" t="b">
        <x:v>0</x:v>
      </x:c>
    </x:row>
    <x:row r="272">
      <x:c r="A272" t="str">
        <x:v>SYN-0271</x:v>
      </x:c>
      <x:c r="B272" s="12" t="n">
        <x:v>46206</x:v>
      </x:c>
      <x:c r="C272" t="str">
        <x:v>Synthetic New-Project Listing</x:v>
      </x:c>
      <x:c r="D272" t="str">
        <x:v>https://example.com/listings/SYN-0271</x:v>
      </x:c>
      <x:c r="E272" t="str">
        <x:v>New Project</x:v>
      </x:c>
      <x:c r="F272" t="str">
        <x:v>Weizmann Urban</x:v>
      </x:c>
      <x:c r="G272" t="str">
        <x:v>Sample Development B</x:v>
      </x:c>
      <x:c r="H272" t="str">
        <x:v>Bavli 162, Tel Aviv</x:v>
      </x:c>
      <x:c r="I272" t="str">
        <x:v>Tel Aviv</x:v>
      </x:c>
      <x:c r="J272" t="str">
        <x:v>Kikar HaMedina / New North</x:v>
      </x:c>
      <x:c r="K272" s="14" t="n">
        <x:v>0.69</x:v>
      </x:c>
      <x:c r="L272" t="str">
        <x:v>Apartment</x:v>
      </x:c>
      <x:c r="M272" t="n">
        <x:v>3</x:v>
      </x:c>
      <x:c r="N272" s="16" t="n">
        <x:v>66.3</x:v>
      </x:c>
      <x:c r="O272" t="n">
        <x:v>10</x:v>
      </x:c>
      <x:c r="P272" t="n">
        <x:v>12</x:v>
      </x:c>
      <x:c r="Q272" s="18" t="n">
        <x:v>5670000</x:v>
      </x:c>
      <x:c r="R272" s="18" t="n">
        <x:f>IFERROR(Q272/N272,"")</x:f>
        <x:v>85520.36199095023</x:v>
      </x:c>
      <x:c r="S272" t="n">
        <x:v>2026</x:v>
      </x:c>
      <x:c r="T272" t="n">
        <x:v>0</x:v>
      </x:c>
      <x:c r="U272" t="str">
        <x:v>New</x:v>
      </x:c>
      <x:c r="V272" s="16" t="n">
        <x:v>21.5</x:v>
      </x:c>
      <x:c r="W272" t="str">
        <x:v>North-East</x:v>
      </x:c>
      <x:c r="X272" t="n">
        <x:v>1</x:v>
      </x:c>
      <x:c r="Y272" s="16" t="n">
        <x:v>3.3</x:v>
      </x:c>
      <x:c r="Z272" s="1" t="b">
        <x:v>1</x:v>
      </x:c>
      <x:c r="AA272" t="str">
        <x:v>North-East, North</x:v>
      </x:c>
      <x:c r="AB272" s="16" t="n">
        <x:v>0</x:v>
      </x:c>
      <x:c r="AC272" s="16" t="n">
        <x:v>0</x:v>
      </x:c>
      <x:c r="AD272" s="1" t="b">
        <x:v>0</x:v>
      </x:c>
    </x:row>
    <x:row r="273">
      <x:c r="A273" t="str">
        <x:v>SYN-0272</x:v>
      </x:c>
      <x:c r="B273" s="12" t="n">
        <x:v>46238</x:v>
      </x:c>
      <x:c r="C273" t="str">
        <x:v>Synthetic New-Project Listing</x:v>
      </x:c>
      <x:c r="D273" t="str">
        <x:v>https://example.com/listings/SYN-0272</x:v>
      </x:c>
      <x:c r="E273" t="str">
        <x:v>New Project</x:v>
      </x:c>
      <x:c r="F273" t="str">
        <x:v>Kikar Residence</x:v>
      </x:c>
      <x:c r="G273" t="str">
        <x:v>Sample Development A</x:v>
      </x:c>
      <x:c r="H273" t="str">
        <x:v>Biltmore 31, Tel Aviv</x:v>
      </x:c>
      <x:c r="I273" t="str">
        <x:v>Tel Aviv</x:v>
      </x:c>
      <x:c r="J273" t="str">
        <x:v>Kikar HaMedina / New North</x:v>
      </x:c>
      <x:c r="K273" s="14" t="n">
        <x:v>0.74</x:v>
      </x:c>
      <x:c r="L273" t="str">
        <x:v>Apartment</x:v>
      </x:c>
      <x:c r="M273" t="n">
        <x:v>4</x:v>
      </x:c>
      <x:c r="N273" s="16" t="n">
        <x:v>99.9</x:v>
      </x:c>
      <x:c r="O273" t="n">
        <x:v>7</x:v>
      </x:c>
      <x:c r="P273" t="n">
        <x:v>14</x:v>
      </x:c>
      <x:c r="Q273" s="18" t="n">
        <x:v>7780000</x:v>
      </x:c>
      <x:c r="R273" s="18" t="n">
        <x:f>IFERROR(Q273/N273,"")</x:f>
        <x:v>77877.87787787788</x:v>
      </x:c>
      <x:c r="S273" t="n">
        <x:v>2026</x:v>
      </x:c>
      <x:c r="T273" t="n">
        <x:v>0</x:v>
      </x:c>
      <x:c r="U273" t="str">
        <x:v>New</x:v>
      </x:c>
      <x:c r="V273" s="16" t="n">
        <x:v>12.9</x:v>
      </x:c>
      <x:c r="W273" t="str">
        <x:v>South-West</x:v>
      </x:c>
      <x:c r="X273" t="n">
        <x:v>0</x:v>
      </x:c>
      <x:c r="Y273" s="16" t="n">
        <x:v>5.4</x:v>
      </x:c>
      <x:c r="Z273" s="1" t="b">
        <x:v>1</x:v>
      </x:c>
      <x:c r="AA273" t="str">
        <x:v>South-West, East</x:v>
      </x:c>
      <x:c r="AB273" s="16" t="n">
        <x:v>0</x:v>
      </x:c>
      <x:c r="AC273" s="16" t="n">
        <x:v>0</x:v>
      </x:c>
      <x:c r="AD273" s="1" t="b">
        <x:v>0</x:v>
      </x:c>
    </x:row>
    <x:row r="274">
      <x:c r="A274" t="str">
        <x:v>SYN-0273</x:v>
      </x:c>
      <x:c r="B274" s="12" t="n">
        <x:v>46255</x:v>
      </x:c>
      <x:c r="C274" t="str">
        <x:v>Synthetic New-Project Listing</x:v>
      </x:c>
      <x:c r="D274" t="str">
        <x:v>https://example.com/listings/SYN-0273</x:v>
      </x:c>
      <x:c r="E274" t="str">
        <x:v>New Project</x:v>
      </x:c>
      <x:c r="F274" t="str">
        <x:v>Kikar Residence</x:v>
      </x:c>
      <x:c r="G274" t="str">
        <x:v>Sample Development A</x:v>
      </x:c>
      <x:c r="H274" t="str">
        <x:v>Bavli 157, Tel Aviv</x:v>
      </x:c>
      <x:c r="I274" t="str">
        <x:v>Tel Aviv</x:v>
      </x:c>
      <x:c r="J274" t="str">
        <x:v>Kikar HaMedina / New North</x:v>
      </x:c>
      <x:c r="K274" s="14" t="n">
        <x:v>0.77</x:v>
      </x:c>
      <x:c r="L274" t="str">
        <x:v>Garden Apartment</x:v>
      </x:c>
      <x:c r="M274" t="n">
        <x:v>4</x:v>
      </x:c>
      <x:c r="N274" s="16" t="n">
        <x:v>106.5</x:v>
      </x:c>
      <x:c r="O274" t="n">
        <x:v>0</x:v>
      </x:c>
      <x:c r="P274" t="n">
        <x:v>15</x:v>
      </x:c>
      <x:c r="Q274" s="18" t="n">
        <x:v>10240000</x:v>
      </x:c>
      <x:c r="R274" s="18" t="n">
        <x:f>IFERROR(Q274/N274,"")</x:f>
        <x:v>96150.23474178404</x:v>
      </x:c>
      <x:c r="S274" t="n">
        <x:v>2027</x:v>
      </x:c>
      <x:c r="T274" t="n">
        <x:v>0</x:v>
      </x:c>
      <x:c r="U274" t="str">
        <x:v>New</x:v>
      </x:c>
      <x:c r="V274" s="16" t="n">
        <x:v>94.7</x:v>
      </x:c>
      <x:c r="W274" t="str">
        <x:v>North</x:v>
      </x:c>
      <x:c r="X274" t="n">
        <x:v>1</x:v>
      </x:c>
      <x:c r="Y274" s="16" t="n">
        <x:v>3.1</x:v>
      </x:c>
      <x:c r="Z274" s="1" t="b">
        <x:v>1</x:v>
      </x:c>
      <x:c r="AA274" t="str">
        <x:v>North, South</x:v>
      </x:c>
      <x:c r="AB274" s="16" t="n">
        <x:v>48.3</x:v>
      </x:c>
      <x:c r="AC274" s="16" t="n">
        <x:v>0</x:v>
      </x:c>
      <x:c r="AD274" s="1" t="b">
        <x:v>0</x:v>
      </x:c>
    </x:row>
    <x:row r="275">
      <x:c r="A275" t="str">
        <x:v>SYN-0274</x:v>
      </x:c>
      <x:c r="B275" s="12" t="n">
        <x:v>46230</x:v>
      </x:c>
      <x:c r="C275" t="str">
        <x:v>Synthetic Yad2-like Listing</x:v>
      </x:c>
      <x:c r="D275" t="str">
        <x:v>https://example.com/listings/SYN-0274</x:v>
      </x:c>
      <x:c r="E275" t="str">
        <x:v>Second Hand</x:v>
      </x:c>
      <x:c r="F275" t="str"/>
      <x:c r="G275" t="str"/>
      <x:c r="H275" t="str">
        <x:v>Jabotinsky 12, Tel Aviv</x:v>
      </x:c>
      <x:c r="I275" t="str">
        <x:v>Tel Aviv</x:v>
      </x:c>
      <x:c r="J275" t="str">
        <x:v>Kikar HaMedina / New North</x:v>
      </x:c>
      <x:c r="K275" s="14" t="n">
        <x:v>0.52</x:v>
      </x:c>
      <x:c r="L275" t="str">
        <x:v>Apartment</x:v>
      </x:c>
      <x:c r="M275" t="n">
        <x:v>2</x:v>
      </x:c>
      <x:c r="N275" s="16" t="n">
        <x:v>48.8</x:v>
      </x:c>
      <x:c r="O275" t="n">
        <x:v>5</x:v>
      </x:c>
      <x:c r="P275" t="n">
        <x:v>18</x:v>
      </x:c>
      <x:c r="Q275" s="18" t="n">
        <x:v>3280000</x:v>
      </x:c>
      <x:c r="R275" s="18" t="n">
        <x:f>IFERROR(Q275/N275,"")</x:f>
        <x:v>67213.11475409837</x:v>
      </x:c>
      <x:c r="S275" t="n">
        <x:v>1980</x:v>
      </x:c>
      <x:c r="T275" t="n">
        <x:v>46</x:v>
      </x:c>
      <x:c r="U275" t="str">
        <x:v>Good</x:v>
      </x:c>
      <x:c r="V275" s="16" t="n">
        <x:v>0</x:v>
      </x:c>
      <x:c r="W275" t="str"/>
      <x:c r="X275" t="n">
        <x:v>1</x:v>
      </x:c>
      <x:c r="Y275" s="16" t="n">
        <x:v>7.8</x:v>
      </x:c>
      <x:c r="Z275" s="1" t="b">
        <x:v>1</x:v>
      </x:c>
      <x:c r="AA275" t="str">
        <x:v>South-West-East</x:v>
      </x:c>
      <x:c r="AB275" s="16" t="n">
        <x:v>0</x:v>
      </x:c>
      <x:c r="AC275" s="16" t="n">
        <x:v>0</x:v>
      </x:c>
      <x:c r="AD275" s="1" t="b">
        <x:v>0</x:v>
      </x:c>
    </x:row>
    <x:row r="276">
      <x:c r="A276" t="str">
        <x:v>SYN-0275</x:v>
      </x:c>
      <x:c r="B276" s="12" t="n">
        <x:v>46217</x:v>
      </x:c>
      <x:c r="C276" t="str">
        <x:v>Synthetic New-Project Listing</x:v>
      </x:c>
      <x:c r="D276" t="str">
        <x:v>https://example.com/listings/SYN-0275</x:v>
      </x:c>
      <x:c r="E276" t="str">
        <x:v>New Project</x:v>
      </x:c>
      <x:c r="F276" t="str">
        <x:v>Kikar Residence</x:v>
      </x:c>
      <x:c r="G276" t="str">
        <x:v>Sample Development A</x:v>
      </x:c>
      <x:c r="H276" t="str">
        <x:v>Pinkas 152, Tel Aviv</x:v>
      </x:c>
      <x:c r="I276" t="str">
        <x:v>Tel Aviv</x:v>
      </x:c>
      <x:c r="J276" t="str">
        <x:v>Kikar HaMedina / New North</x:v>
      </x:c>
      <x:c r="K276" s="14" t="n">
        <x:v>0.56</x:v>
      </x:c>
      <x:c r="L276" t="str">
        <x:v>Apartment</x:v>
      </x:c>
      <x:c r="M276" t="n">
        <x:v>3</x:v>
      </x:c>
      <x:c r="N276" s="16" t="n">
        <x:v>68.8</x:v>
      </x:c>
      <x:c r="O276" t="n">
        <x:v>3</x:v>
      </x:c>
      <x:c r="P276" t="n">
        <x:v>18</x:v>
      </x:c>
      <x:c r="Q276" s="18" t="n">
        <x:v>6110000</x:v>
      </x:c>
      <x:c r="R276" s="18" t="n">
        <x:f>IFERROR(Q276/N276,"")</x:f>
        <x:v>88808.13953488372</x:v>
      </x:c>
      <x:c r="S276" t="n">
        <x:v>2025</x:v>
      </x:c>
      <x:c r="T276" t="n">
        <x:v>1</x:v>
      </x:c>
      <x:c r="U276" t="str">
        <x:v>New</x:v>
      </x:c>
      <x:c r="V276" s="16" t="n">
        <x:v>20.7</x:v>
      </x:c>
      <x:c r="W276" t="str">
        <x:v>South-East</x:v>
      </x:c>
      <x:c r="X276" t="n">
        <x:v>1</x:v>
      </x:c>
      <x:c r="Y276" s="16" t="n">
        <x:v>6.4</x:v>
      </x:c>
      <x:c r="Z276" s="1" t="b">
        <x:v>1</x:v>
      </x:c>
      <x:c r="AA276" t="str">
        <x:v>South-East, North</x:v>
      </x:c>
      <x:c r="AB276" s="16" t="n">
        <x:v>0</x:v>
      </x:c>
      <x:c r="AC276" s="16" t="n">
        <x:v>0</x:v>
      </x:c>
      <x:c r="AD276" s="1" t="b">
        <x:v>0</x:v>
      </x:c>
    </x:row>
    <x:row r="277">
      <x:c r="A277" t="str">
        <x:v>SYN-0276</x:v>
      </x:c>
      <x:c r="B277" s="12" t="n">
        <x:v>46252</x:v>
      </x:c>
      <x:c r="C277" t="str">
        <x:v>Synthetic New-Project Listing</x:v>
      </x:c>
      <x:c r="D277" t="str">
        <x:v>https://example.com/listings/SYN-0276</x:v>
      </x:c>
      <x:c r="E277" t="str">
        <x:v>New Project</x:v>
      </x:c>
      <x:c r="F277" t="str">
        <x:v>Helsinki Gardens</x:v>
      </x:c>
      <x:c r="G277" t="str">
        <x:v>Sample Development C</x:v>
      </x:c>
      <x:c r="H277" t="str">
        <x:v>Biltmore 2, Tel Aviv</x:v>
      </x:c>
      <x:c r="I277" t="str">
        <x:v>Tel Aviv</x:v>
      </x:c>
      <x:c r="J277" t="str">
        <x:v>Kikar HaMedina / New North</x:v>
      </x:c>
      <x:c r="K277" s="14" t="n">
        <x:v>0.84</x:v>
      </x:c>
      <x:c r="L277" t="str">
        <x:v>Apartment</x:v>
      </x:c>
      <x:c r="M277" t="n">
        <x:v>3</x:v>
      </x:c>
      <x:c r="N277" s="16" t="n">
        <x:v>75.4</x:v>
      </x:c>
      <x:c r="O277" t="n">
        <x:v>3</x:v>
      </x:c>
      <x:c r="P277" t="n">
        <x:v>6</x:v>
      </x:c>
      <x:c r="Q277" s="18" t="n">
        <x:v>6260000</x:v>
      </x:c>
      <x:c r="R277" s="18" t="n">
        <x:f>IFERROR(Q277/N277,"")</x:f>
        <x:v>83023.87267904509</x:v>
      </x:c>
      <x:c r="S277" t="n">
        <x:v>2026</x:v>
      </x:c>
      <x:c r="T277" t="n">
        <x:v>0</x:v>
      </x:c>
      <x:c r="U277" t="str">
        <x:v>New</x:v>
      </x:c>
      <x:c r="V277" s="16" t="n">
        <x:v>10.9</x:v>
      </x:c>
      <x:c r="W277" t="str">
        <x:v>South-West</x:v>
      </x:c>
      <x:c r="X277" t="n">
        <x:v>1</x:v>
      </x:c>
      <x:c r="Y277" s="16" t="n">
        <x:v>8.8</x:v>
      </x:c>
      <x:c r="Z277" s="1" t="b">
        <x:v>1</x:v>
      </x:c>
      <x:c r="AA277" t="str">
        <x:v>South-West, North</x:v>
      </x:c>
      <x:c r="AB277" s="16" t="n">
        <x:v>0</x:v>
      </x:c>
      <x:c r="AC277" s="16" t="n">
        <x:v>0</x:v>
      </x:c>
      <x:c r="AD277" s="1" t="b">
        <x:v>0</x:v>
      </x:c>
    </x:row>
    <x:row r="278">
      <x:c r="A278" t="str">
        <x:v>SYN-0277</x:v>
      </x:c>
      <x:c r="B278" s="12" t="n">
        <x:v>46254</x:v>
      </x:c>
      <x:c r="C278" t="str">
        <x:v>Synthetic Yad2-like Listing</x:v>
      </x:c>
      <x:c r="D278" t="str">
        <x:v>https://example.com/listings/SYN-0277</x:v>
      </x:c>
      <x:c r="E278" t="str">
        <x:v>Second Hand</x:v>
      </x:c>
      <x:c r="F278" t="str"/>
      <x:c r="G278" t="str"/>
      <x:c r="H278" t="str">
        <x:v>Biltmore 117, Tel Aviv</x:v>
      </x:c>
      <x:c r="I278" t="str">
        <x:v>Tel Aviv</x:v>
      </x:c>
      <x:c r="J278" t="str">
        <x:v>Kikar HaMedina / New North</x:v>
      </x:c>
      <x:c r="K278" s="14" t="n">
        <x:v>0.9</x:v>
      </x:c>
      <x:c r="L278" t="str">
        <x:v>Apartment</x:v>
      </x:c>
      <x:c r="M278" t="n">
        <x:v>4</x:v>
      </x:c>
      <x:c r="N278" s="16" t="n">
        <x:v>97.3</x:v>
      </x:c>
      <x:c r="O278" t="n">
        <x:v>10</x:v>
      </x:c>
      <x:c r="P278" t="n">
        <x:v>14</x:v>
      </x:c>
      <x:c r="Q278" s="18" t="n">
        <x:v>7130000</x:v>
      </x:c>
      <x:c r="R278" s="18" t="n">
        <x:f>IFERROR(Q278/N278,"")</x:f>
        <x:v>73278.52004110996</x:v>
      </x:c>
      <x:c r="S278" t="n">
        <x:v>1983</x:v>
      </x:c>
      <x:c r="T278" t="n">
        <x:v>43</x:v>
      </x:c>
      <x:c r="U278" t="str">
        <x:v>Renovated</x:v>
      </x:c>
      <x:c r="V278" s="16" t="n">
        <x:v>20.7</x:v>
      </x:c>
      <x:c r="W278" t="str">
        <x:v>South-West</x:v>
      </x:c>
      <x:c r="X278" t="n">
        <x:v>1</x:v>
      </x:c>
      <x:c r="Y278" s="16" t="n">
        <x:v>9.5</x:v>
      </x:c>
      <x:c r="Z278" s="1" t="b">
        <x:v>1</x:v>
      </x:c>
      <x:c r="AA278" t="str">
        <x:v>South-West, West</x:v>
      </x:c>
      <x:c r="AB278" s="16" t="n">
        <x:v>0</x:v>
      </x:c>
      <x:c r="AC278" s="16" t="n">
        <x:v>0</x:v>
      </x:c>
      <x:c r="AD278" s="1" t="b">
        <x:v>0</x:v>
      </x:c>
    </x:row>
    <x:row r="279">
      <x:c r="A279" t="str">
        <x:v>SYN-0278</x:v>
      </x:c>
      <x:c r="B279" s="12" t="n">
        <x:v>46217</x:v>
      </x:c>
      <x:c r="C279" t="str">
        <x:v>Synthetic New-Project Listing</x:v>
      </x:c>
      <x:c r="D279" t="str">
        <x:v>https://example.com/listings/SYN-0278</x:v>
      </x:c>
      <x:c r="E279" t="str">
        <x:v>New Project</x:v>
      </x:c>
      <x:c r="F279" t="str">
        <x:v>North TLV Living</x:v>
      </x:c>
      <x:c r="G279" t="str">
        <x:v>Sample Development D</x:v>
      </x:c>
      <x:c r="H279" t="str">
        <x:v>Jabotinsky 97, Tel Aviv</x:v>
      </x:c>
      <x:c r="I279" t="str">
        <x:v>Tel Aviv</x:v>
      </x:c>
      <x:c r="J279" t="str">
        <x:v>Kikar HaMedina / New North</x:v>
      </x:c>
      <x:c r="K279" s="14" t="n">
        <x:v>0.66</x:v>
      </x:c>
      <x:c r="L279" t="str">
        <x:v>Apartment</x:v>
      </x:c>
      <x:c r="M279" t="n">
        <x:v>4</x:v>
      </x:c>
      <x:c r="N279" s="16" t="n">
        <x:v>89.4</x:v>
      </x:c>
      <x:c r="O279" t="n">
        <x:v>3</x:v>
      </x:c>
      <x:c r="P279" t="n">
        <x:v>15</x:v>
      </x:c>
      <x:c r="Q279" s="18" t="n">
        <x:v>7220000</x:v>
      </x:c>
      <x:c r="R279" s="18" t="n">
        <x:f>IFERROR(Q279/N279,"")</x:f>
        <x:v>80760.62639821028</x:v>
      </x:c>
      <x:c r="S279" t="n">
        <x:v>2025</x:v>
      </x:c>
      <x:c r="T279" t="n">
        <x:v>1</x:v>
      </x:c>
      <x:c r="U279" t="str">
        <x:v>New</x:v>
      </x:c>
      <x:c r="V279" s="16" t="n">
        <x:v>14.7</x:v>
      </x:c>
      <x:c r="W279" t="str">
        <x:v>North-West</x:v>
      </x:c>
      <x:c r="X279" t="n">
        <x:v>1</x:v>
      </x:c>
      <x:c r="Y279" s="16" t="n">
        <x:v>4.6</x:v>
      </x:c>
      <x:c r="Z279" s="1" t="b">
        <x:v>1</x:v>
      </x:c>
      <x:c r="AA279" t="str">
        <x:v>North-West, East</x:v>
      </x:c>
      <x:c r="AB279" s="16" t="n">
        <x:v>0</x:v>
      </x:c>
      <x:c r="AC279" s="16" t="n">
        <x:v>0</x:v>
      </x:c>
      <x:c r="AD279" s="1" t="b">
        <x:v>0</x:v>
      </x:c>
    </x:row>
    <x:row r="280">
      <x:c r="A280" t="str">
        <x:v>SYN-0279</x:v>
      </x:c>
      <x:c r="B280" s="12" t="n">
        <x:v>46243</x:v>
      </x:c>
      <x:c r="C280" t="str">
        <x:v>Synthetic Yad2-like Listing</x:v>
      </x:c>
      <x:c r="D280" t="str">
        <x:v>https://example.com/listings/SYN-0279</x:v>
      </x:c>
      <x:c r="E280" t="str">
        <x:v>Second Hand</x:v>
      </x:c>
      <x:c r="F280" t="str"/>
      <x:c r="G280" t="str"/>
      <x:c r="H280" t="str">
        <x:v>Lissin 57, Tel Aviv</x:v>
      </x:c>
      <x:c r="I280" t="str">
        <x:v>Tel Aviv</x:v>
      </x:c>
      <x:c r="J280" t="str">
        <x:v>Kikar HaMedina / New North</x:v>
      </x:c>
      <x:c r="K280" s="14" t="n">
        <x:v>0.53</x:v>
      </x:c>
      <x:c r="L280" t="str">
        <x:v>Apartment</x:v>
      </x:c>
      <x:c r="M280" t="n">
        <x:v>3</x:v>
      </x:c>
      <x:c r="N280" s="16" t="n">
        <x:v>73.9</x:v>
      </x:c>
      <x:c r="O280" t="n">
        <x:v>2</x:v>
      </x:c>
      <x:c r="P280" t="n">
        <x:v>11</x:v>
      </x:c>
      <x:c r="Q280" s="18" t="n">
        <x:v>5190000</x:v>
      </x:c>
      <x:c r="R280" s="18" t="n">
        <x:f>IFERROR(Q280/N280,"")</x:f>
        <x:v>70230.04059539919</x:v>
      </x:c>
      <x:c r="S280" t="n">
        <x:v>1967</x:v>
      </x:c>
      <x:c r="T280" t="n">
        <x:v>59</x:v>
      </x:c>
      <x:c r="U280" t="str">
        <x:v>Needs Renovation</x:v>
      </x:c>
      <x:c r="V280" s="16" t="n">
        <x:v>23.6</x:v>
      </x:c>
      <x:c r="W280" t="str">
        <x:v>West</x:v>
      </x:c>
      <x:c r="X280" t="n">
        <x:v>1</x:v>
      </x:c>
      <x:c r="Y280" s="16" t="n">
        <x:v>7</x:v>
      </x:c>
      <x:c r="Z280" s="1" t="b">
        <x:v>1</x:v>
      </x:c>
      <x:c r="AA280" t="str">
        <x:v>West, West</x:v>
      </x:c>
      <x:c r="AB280" s="16" t="n">
        <x:v>0</x:v>
      </x:c>
      <x:c r="AC280" s="16" t="n">
        <x:v>0</x:v>
      </x:c>
      <x:c r="AD280" s="1" t="b">
        <x:v>0</x:v>
      </x:c>
    </x:row>
    <x:row r="281">
      <x:c r="A281" t="str">
        <x:v>SYN-0280</x:v>
      </x:c>
      <x:c r="B281" s="12" t="n">
        <x:v>46213</x:v>
      </x:c>
      <x:c r="C281" t="str">
        <x:v>Synthetic Yad2-like Listing</x:v>
      </x:c>
      <x:c r="D281" t="str">
        <x:v>https://example.com/listings/SYN-0280</x:v>
      </x:c>
      <x:c r="E281" t="str">
        <x:v>Second Hand</x:v>
      </x:c>
      <x:c r="F281" t="str"/>
      <x:c r="G281" t="str"/>
      <x:c r="H281" t="str">
        <x:v>Jabotinsky 64, Tel Aviv</x:v>
      </x:c>
      <x:c r="I281" t="str">
        <x:v>Tel Aviv</x:v>
      </x:c>
      <x:c r="J281" t="str">
        <x:v>Kikar HaMedina / New North</x:v>
      </x:c>
      <x:c r="K281" s="14" t="n">
        <x:v>0.62</x:v>
      </x:c>
      <x:c r="L281" t="str">
        <x:v>Apartment</x:v>
      </x:c>
      <x:c r="M281" t="n">
        <x:v>4</x:v>
      </x:c>
      <x:c r="N281" s="16" t="n">
        <x:v>99.1</x:v>
      </x:c>
      <x:c r="O281" t="n">
        <x:v>3</x:v>
      </x:c>
      <x:c r="P281" t="n">
        <x:v>5</x:v>
      </x:c>
      <x:c r="Q281" s="18" t="n">
        <x:v>7160000</x:v>
      </x:c>
      <x:c r="R281" s="18" t="n">
        <x:f>IFERROR(Q281/N281,"")</x:f>
        <x:v>72250.2522704339</x:v>
      </x:c>
      <x:c r="S281" t="n">
        <x:v>2006</x:v>
      </x:c>
      <x:c r="T281" t="n">
        <x:v>20</x:v>
      </x:c>
      <x:c r="U281" t="str">
        <x:v>Good</x:v>
      </x:c>
      <x:c r="V281" s="16" t="n">
        <x:v>21.8</x:v>
      </x:c>
      <x:c r="W281" t="str">
        <x:v>West</x:v>
      </x:c>
      <x:c r="X281" t="n">
        <x:v>1</x:v>
      </x:c>
      <x:c r="Y281" s="16" t="n">
        <x:v>0</x:v>
      </x:c>
      <x:c r="Z281" s="1" t="b">
        <x:v>1</x:v>
      </x:c>
      <x:c r="AA281" t="str">
        <x:v>West</x:v>
      </x:c>
      <x:c r="AB281" s="16" t="n">
        <x:v>0</x:v>
      </x:c>
      <x:c r="AC281" s="16" t="n">
        <x:v>0</x:v>
      </x:c>
      <x:c r="AD281" s="1" t="b">
        <x:v>0</x:v>
      </x:c>
    </x:row>
    <x:row r="282">
      <x:c r="A282" t="str">
        <x:v>SYN-0281</x:v>
      </x:c>
      <x:c r="B282" s="12" t="n">
        <x:v>46234</x:v>
      </x:c>
      <x:c r="C282" t="str">
        <x:v>Synthetic Yad2-like Listing</x:v>
      </x:c>
      <x:c r="D282" t="str">
        <x:v>https://example.com/listings/SYN-0281</x:v>
      </x:c>
      <x:c r="E282" t="str">
        <x:v>Second Hand</x:v>
      </x:c>
      <x:c r="F282" t="str"/>
      <x:c r="G282" t="str"/>
      <x:c r="H282" t="str">
        <x:v>Helsinki 56, Tel Aviv</x:v>
      </x:c>
      <x:c r="I282" t="str">
        <x:v>Tel Aviv</x:v>
      </x:c>
      <x:c r="J282" t="str">
        <x:v>Kikar HaMedina / New North</x:v>
      </x:c>
      <x:c r="K282" s="14" t="n">
        <x:v>0.07</x:v>
      </x:c>
      <x:c r="L282" t="str">
        <x:v>Apartment</x:v>
      </x:c>
      <x:c r="M282" t="n">
        <x:v>5</x:v>
      </x:c>
      <x:c r="N282" s="16" t="n">
        <x:v>122.9</x:v>
      </x:c>
      <x:c r="O282" t="n">
        <x:v>0</x:v>
      </x:c>
      <x:c r="P282" t="n">
        <x:v>4</x:v>
      </x:c>
      <x:c r="Q282" s="18" t="n">
        <x:v>8330000</x:v>
      </x:c>
      <x:c r="R282" s="18" t="n">
        <x:f>IFERROR(Q282/N282,"")</x:f>
        <x:v>67778.6818551668</x:v>
      </x:c>
      <x:c r="S282" t="n">
        <x:v>1975</x:v>
      </x:c>
      <x:c r="T282" t="n">
        <x:v>51</x:v>
      </x:c>
      <x:c r="U282" t="str">
        <x:v>Renovated</x:v>
      </x:c>
      <x:c r="V282" s="16" t="n">
        <x:v>18.2</x:v>
      </x:c>
      <x:c r="W282" t="str">
        <x:v>South-East</x:v>
      </x:c>
      <x:c r="X282" t="n">
        <x:v>1</x:v>
      </x:c>
      <x:c r="Y282" s="16" t="n">
        <x:v>0</x:v>
      </x:c>
      <x:c r="Z282" s="1" t="b">
        <x:v>1</x:v>
      </x:c>
      <x:c r="AA282" t="str">
        <x:v>South-East</x:v>
      </x:c>
      <x:c r="AB282" s="16" t="n">
        <x:v>0</x:v>
      </x:c>
      <x:c r="AC282" s="16" t="n">
        <x:v>0</x:v>
      </x:c>
      <x:c r="AD282" s="1" t="b">
        <x:v>0</x:v>
      </x:c>
    </x:row>
    <x:row r="283">
      <x:c r="A283" t="str">
        <x:v>SYN-0282</x:v>
      </x:c>
      <x:c r="B283" s="12" t="n">
        <x:v>46243</x:v>
      </x:c>
      <x:c r="C283" t="str">
        <x:v>Synthetic Yad2-like Listing</x:v>
      </x:c>
      <x:c r="D283" t="str">
        <x:v>https://example.com/listings/SYN-0282</x:v>
      </x:c>
      <x:c r="E283" t="str">
        <x:v>Second Hand</x:v>
      </x:c>
      <x:c r="F283" t="str"/>
      <x:c r="G283" t="str"/>
      <x:c r="H283" t="str">
        <x:v>Biltmore 177, Tel Aviv</x:v>
      </x:c>
      <x:c r="I283" t="str">
        <x:v>Tel Aviv</x:v>
      </x:c>
      <x:c r="J283" t="str">
        <x:v>Kikar HaMedina / New North</x:v>
      </x:c>
      <x:c r="K283" s="14" t="n">
        <x:v>0.82</x:v>
      </x:c>
      <x:c r="L283" t="str">
        <x:v>Apartment</x:v>
      </x:c>
      <x:c r="M283" t="n">
        <x:v>2</x:v>
      </x:c>
      <x:c r="N283" s="16" t="n">
        <x:v>52.4</x:v>
      </x:c>
      <x:c r="O283" t="n">
        <x:v>9</x:v>
      </x:c>
      <x:c r="P283" t="n">
        <x:v>10</x:v>
      </x:c>
      <x:c r="Q283" s="18" t="n">
        <x:v>3860000</x:v>
      </x:c>
      <x:c r="R283" s="18" t="n">
        <x:f>IFERROR(Q283/N283,"")</x:f>
        <x:v>73664.12213740459</x:v>
      </x:c>
      <x:c r="S283" t="n">
        <x:v>2015</x:v>
      </x:c>
      <x:c r="T283" t="n">
        <x:v>11</x:v>
      </x:c>
      <x:c r="U283" t="str">
        <x:v>Good</x:v>
      </x:c>
      <x:c r="V283" s="16" t="n">
        <x:v>19.3</x:v>
      </x:c>
      <x:c r="W283" t="str">
        <x:v>East</x:v>
      </x:c>
      <x:c r="X283" t="n">
        <x:v>0</x:v>
      </x:c>
      <x:c r="Y283" s="16" t="n">
        <x:v>6.3</x:v>
      </x:c>
      <x:c r="Z283" s="1" t="b">
        <x:v>1</x:v>
      </x:c>
      <x:c r="AA283" t="str">
        <x:v>East, South</x:v>
      </x:c>
      <x:c r="AB283" s="16" t="n">
        <x:v>0</x:v>
      </x:c>
      <x:c r="AC283" s="16" t="n">
        <x:v>0</x:v>
      </x:c>
      <x:c r="AD283" s="1" t="b">
        <x:v>1</x:v>
      </x:c>
    </x:row>
    <x:row r="284">
      <x:c r="A284" t="str">
        <x:v>SYN-0283</x:v>
      </x:c>
      <x:c r="B284" s="12" t="n">
        <x:v>46253</x:v>
      </x:c>
      <x:c r="C284" t="str">
        <x:v>Synthetic Yad2-like Listing</x:v>
      </x:c>
      <x:c r="D284" t="str">
        <x:v>https://example.com/listings/SYN-0283</x:v>
      </x:c>
      <x:c r="E284" t="str">
        <x:v>Second Hand</x:v>
      </x:c>
      <x:c r="F284" t="str"/>
      <x:c r="G284" t="str"/>
      <x:c r="H284" t="str">
        <x:v>Biltmore 94, Tel Aviv</x:v>
      </x:c>
      <x:c r="I284" t="str">
        <x:v>Tel Aviv</x:v>
      </x:c>
      <x:c r="J284" t="str">
        <x:v>Kikar HaMedina / New North</x:v>
      </x:c>
      <x:c r="K284" s="14" t="n">
        <x:v>0.83</x:v>
      </x:c>
      <x:c r="L284" t="str">
        <x:v>Apartment</x:v>
      </x:c>
      <x:c r="M284" t="n">
        <x:v>4</x:v>
      </x:c>
      <x:c r="N284" s="16" t="n">
        <x:v>103.8</x:v>
      </x:c>
      <x:c r="O284" t="n">
        <x:v>1</x:v>
      </x:c>
      <x:c r="P284" t="n">
        <x:v>13</x:v>
      </x:c>
      <x:c r="Q284" s="18" t="n">
        <x:v>7350000</x:v>
      </x:c>
      <x:c r="R284" s="18" t="n">
        <x:f>IFERROR(Q284/N284,"")</x:f>
        <x:v>70809.2485549133</x:v>
      </x:c>
      <x:c r="S284" t="n">
        <x:v>2016</x:v>
      </x:c>
      <x:c r="T284" t="n">
        <x:v>10</x:v>
      </x:c>
      <x:c r="U284" t="str">
        <x:v>Renovated</x:v>
      </x:c>
      <x:c r="V284" s="16" t="n">
        <x:v>0</x:v>
      </x:c>
      <x:c r="W284" t="str"/>
      <x:c r="X284" t="n">
        <x:v>1</x:v>
      </x:c>
      <x:c r="Y284" s="16" t="n">
        <x:v>0</x:v>
      </x:c>
      <x:c r="Z284" s="1" t="b">
        <x:v>1</x:v>
      </x:c>
      <x:c r="AA284" t="str">
        <x:v>North-East</x:v>
      </x:c>
      <x:c r="AB284" s="16" t="n">
        <x:v>0</x:v>
      </x:c>
      <x:c r="AC284" s="16" t="n">
        <x:v>0</x:v>
      </x:c>
      <x:c r="AD284" s="1" t="b">
        <x:v>0</x:v>
      </x:c>
    </x:row>
    <x:row r="285">
      <x:c r="A285" t="str">
        <x:v>SYN-0284</x:v>
      </x:c>
      <x:c r="B285" s="12" t="n">
        <x:v>46236</x:v>
      </x:c>
      <x:c r="C285" t="str">
        <x:v>Synthetic New-Project Listing</x:v>
      </x:c>
      <x:c r="D285" t="str">
        <x:v>https://example.com/listings/SYN-0284</x:v>
      </x:c>
      <x:c r="E285" t="str">
        <x:v>New Project</x:v>
      </x:c>
      <x:c r="F285" t="str">
        <x:v>Helsinki Gardens</x:v>
      </x:c>
      <x:c r="G285" t="str">
        <x:v>Sample Development C</x:v>
      </x:c>
      <x:c r="H285" t="str">
        <x:v>Mosenzon 69, Tel Aviv</x:v>
      </x:c>
      <x:c r="I285" t="str">
        <x:v>Tel Aviv</x:v>
      </x:c>
      <x:c r="J285" t="str">
        <x:v>Kikar HaMedina / New North</x:v>
      </x:c>
      <x:c r="K285" s="14" t="n">
        <x:v>0.88</x:v>
      </x:c>
      <x:c r="L285" t="str">
        <x:v>Apartment</x:v>
      </x:c>
      <x:c r="M285" t="n">
        <x:v>5</x:v>
      </x:c>
      <x:c r="N285" s="16" t="n">
        <x:v>118.2</x:v>
      </x:c>
      <x:c r="O285" t="n">
        <x:v>1</x:v>
      </x:c>
      <x:c r="P285" t="n">
        <x:v>14</x:v>
      </x:c>
      <x:c r="Q285" s="18" t="n">
        <x:v>8750000</x:v>
      </x:c>
      <x:c r="R285" s="18" t="n">
        <x:f>IFERROR(Q285/N285,"")</x:f>
        <x:v>74027.07275803722</x:v>
      </x:c>
      <x:c r="S285" t="n">
        <x:v>2025</x:v>
      </x:c>
      <x:c r="T285" t="n">
        <x:v>1</x:v>
      </x:c>
      <x:c r="U285" t="str">
        <x:v>New</x:v>
      </x:c>
      <x:c r="V285" s="16" t="n">
        <x:v>0</x:v>
      </x:c>
      <x:c r="W285" t="str"/>
      <x:c r="X285" t="n">
        <x:v>1</x:v>
      </x:c>
      <x:c r="Y285" s="16" t="n">
        <x:v>8.2</x:v>
      </x:c>
      <x:c r="Z285" s="1" t="b">
        <x:v>1</x:v>
      </x:c>
      <x:c r="AA285" t="str">
        <x:v>North-West</x:v>
      </x:c>
      <x:c r="AB285" s="16" t="n">
        <x:v>0</x:v>
      </x:c>
      <x:c r="AC285" s="16" t="n">
        <x:v>0</x:v>
      </x:c>
      <x:c r="AD285" s="1" t="b">
        <x:v>0</x:v>
      </x:c>
    </x:row>
    <x:row r="286">
      <x:c r="A286" t="str">
        <x:v>SYN-0285</x:v>
      </x:c>
      <x:c r="B286" s="12" t="n">
        <x:v>46237</x:v>
      </x:c>
      <x:c r="C286" t="str">
        <x:v>Synthetic Yad2-like Listing</x:v>
      </x:c>
      <x:c r="D286" t="str">
        <x:v>https://example.com/listings/SYN-0285</x:v>
      </x:c>
      <x:c r="E286" t="str">
        <x:v>Second Hand</x:v>
      </x:c>
      <x:c r="F286" t="str"/>
      <x:c r="G286" t="str"/>
      <x:c r="H286" t="str">
        <x:v>Bavli 43, Tel Aviv</x:v>
      </x:c>
      <x:c r="I286" t="str">
        <x:v>Tel Aviv</x:v>
      </x:c>
      <x:c r="J286" t="str">
        <x:v>Kikar HaMedina / New North</x:v>
      </x:c>
      <x:c r="K286" s="14" t="n">
        <x:v>0.78</x:v>
      </x:c>
      <x:c r="L286" t="str">
        <x:v>Apartment</x:v>
      </x:c>
      <x:c r="M286" t="n">
        <x:v>2</x:v>
      </x:c>
      <x:c r="N286" s="16" t="n">
        <x:v>55.9</x:v>
      </x:c>
      <x:c r="O286" t="n">
        <x:v>10</x:v>
      </x:c>
      <x:c r="P286" t="n">
        <x:v>15</x:v>
      </x:c>
      <x:c r="Q286" s="18" t="n">
        <x:v>4080000</x:v>
      </x:c>
      <x:c r="R286" s="18" t="n">
        <x:f>IFERROR(Q286/N286,"")</x:f>
        <x:v>72987.47763864043</x:v>
      </x:c>
      <x:c r="S286" t="n">
        <x:v>1985</x:v>
      </x:c>
      <x:c r="T286" t="n">
        <x:v>41</x:v>
      </x:c>
      <x:c r="U286" t="str">
        <x:v>Needs Renovation</x:v>
      </x:c>
      <x:c r="V286" s="16" t="n">
        <x:v>18.8</x:v>
      </x:c>
      <x:c r="W286" t="str">
        <x:v>South</x:v>
      </x:c>
      <x:c r="X286" t="n">
        <x:v>1</x:v>
      </x:c>
      <x:c r="Y286" s="16" t="n">
        <x:v>0</x:v>
      </x:c>
      <x:c r="Z286" s="1" t="b">
        <x:v>1</x:v>
      </x:c>
      <x:c r="AA286" t="str">
        <x:v>South, West</x:v>
      </x:c>
      <x:c r="AB286" s="16" t="n">
        <x:v>0</x:v>
      </x:c>
      <x:c r="AC286" s="16" t="n">
        <x:v>0</x:v>
      </x:c>
      <x:c r="AD286" s="1" t="b">
        <x:v>0</x:v>
      </x:c>
    </x:row>
    <x:row r="287">
      <x:c r="A287" t="str">
        <x:v>SYN-0286</x:v>
      </x:c>
      <x:c r="B287" s="12" t="n">
        <x:v>46246</x:v>
      </x:c>
      <x:c r="C287" t="str">
        <x:v>Synthetic Yad2-like Listing</x:v>
      </x:c>
      <x:c r="D287" t="str">
        <x:v>https://example.com/listings/SYN-0286</x:v>
      </x:c>
      <x:c r="E287" t="str">
        <x:v>Second Hand</x:v>
      </x:c>
      <x:c r="F287" t="str"/>
      <x:c r="G287" t="str"/>
      <x:c r="H287" t="str">
        <x:v>Mosenzon 106, Tel Aviv</x:v>
      </x:c>
      <x:c r="I287" t="str">
        <x:v>Tel Aviv</x:v>
      </x:c>
      <x:c r="J287" t="str">
        <x:v>Kikar HaMedina / New North</x:v>
      </x:c>
      <x:c r="K287" s="14" t="n">
        <x:v>0.79</x:v>
      </x:c>
      <x:c r="L287" t="str">
        <x:v>Apartment</x:v>
      </x:c>
      <x:c r="M287" t="n">
        <x:v>2</x:v>
      </x:c>
      <x:c r="N287" s="16" t="n">
        <x:v>51.8</x:v>
      </x:c>
      <x:c r="O287" t="n">
        <x:v>10</x:v>
      </x:c>
      <x:c r="P287" t="n">
        <x:v>13</x:v>
      </x:c>
      <x:c r="Q287" s="18" t="n">
        <x:v>4300000</x:v>
      </x:c>
      <x:c r="R287" s="18" t="n">
        <x:f>IFERROR(Q287/N287,"")</x:f>
        <x:v>83011.58301158302</x:v>
      </x:c>
      <x:c r="S287" t="n">
        <x:v>2020</x:v>
      </x:c>
      <x:c r="T287" t="n">
        <x:v>6</x:v>
      </x:c>
      <x:c r="U287" t="str">
        <x:v>Good</x:v>
      </x:c>
      <x:c r="V287" s="16" t="n">
        <x:v>19.8</x:v>
      </x:c>
      <x:c r="W287" t="str">
        <x:v>North</x:v>
      </x:c>
      <x:c r="X287" t="n">
        <x:v>1</x:v>
      </x:c>
      <x:c r="Y287" s="16" t="n">
        <x:v>9.1</x:v>
      </x:c>
      <x:c r="Z287" s="1" t="b">
        <x:v>1</x:v>
      </x:c>
      <x:c r="AA287" t="str">
        <x:v>North, East</x:v>
      </x:c>
      <x:c r="AB287" s="16" t="n">
        <x:v>0</x:v>
      </x:c>
      <x:c r="AC287" s="16" t="n">
        <x:v>0</x:v>
      </x:c>
      <x:c r="AD287" s="1" t="b">
        <x:v>0</x:v>
      </x:c>
    </x:row>
    <x:row r="288">
      <x:c r="A288" t="str">
        <x:v>SYN-0287</x:v>
      </x:c>
      <x:c r="B288" s="12" t="n">
        <x:v>46215</x:v>
      </x:c>
      <x:c r="C288" t="str">
        <x:v>Synthetic Yad2-like Listing</x:v>
      </x:c>
      <x:c r="D288" t="str">
        <x:v>https://example.com/listings/SYN-0287</x:v>
      </x:c>
      <x:c r="E288" t="str">
        <x:v>Second Hand</x:v>
      </x:c>
      <x:c r="F288" t="str"/>
      <x:c r="G288" t="str"/>
      <x:c r="H288" t="str">
        <x:v>Pinkas 43, Tel Aviv</x:v>
      </x:c>
      <x:c r="I288" t="str">
        <x:v>Tel Aviv</x:v>
      </x:c>
      <x:c r="J288" t="str">
        <x:v>Kikar HaMedina / New North</x:v>
      </x:c>
      <x:c r="K288" s="14" t="n">
        <x:v>0.4</x:v>
      </x:c>
      <x:c r="L288" t="str">
        <x:v>Apartment</x:v>
      </x:c>
      <x:c r="M288" t="n">
        <x:v>5</x:v>
      </x:c>
      <x:c r="N288" s="16" t="n">
        <x:v>123.6</x:v>
      </x:c>
      <x:c r="O288" t="n">
        <x:v>4</x:v>
      </x:c>
      <x:c r="P288" t="n">
        <x:v>14</x:v>
      </x:c>
      <x:c r="Q288" s="18" t="n">
        <x:v>8270000</x:v>
      </x:c>
      <x:c r="R288" s="18" t="n">
        <x:f>IFERROR(Q288/N288,"")</x:f>
        <x:v>66909.38511326861</x:v>
      </x:c>
      <x:c r="S288" t="n">
        <x:v>2009</x:v>
      </x:c>
      <x:c r="T288" t="n">
        <x:v>17</x:v>
      </x:c>
      <x:c r="U288" t="str">
        <x:v>Good</x:v>
      </x:c>
      <x:c r="V288" s="16" t="n">
        <x:v>0</x:v>
      </x:c>
      <x:c r="W288" t="str"/>
      <x:c r="X288" t="n">
        <x:v>2</x:v>
      </x:c>
      <x:c r="Y288" s="16" t="n">
        <x:v>0</x:v>
      </x:c>
      <x:c r="Z288" s="1" t="b">
        <x:v>0</x:v>
      </x:c>
      <x:c r="AA288" t="str">
        <x:v>East</x:v>
      </x:c>
      <x:c r="AB288" s="16" t="n">
        <x:v>0</x:v>
      </x:c>
      <x:c r="AC288" s="16" t="n">
        <x:v>0</x:v>
      </x:c>
      <x:c r="AD288" s="1" t="b">
        <x:v>0</x:v>
      </x:c>
    </x:row>
    <x:row r="289">
      <x:c r="A289" t="str">
        <x:v>SYN-0288</x:v>
      </x:c>
      <x:c r="B289" s="12" t="n">
        <x:v>46205</x:v>
      </x:c>
      <x:c r="C289" t="str">
        <x:v>Synthetic Yad2-like Listing</x:v>
      </x:c>
      <x:c r="D289" t="str">
        <x:v>https://example.com/listings/SYN-0288</x:v>
      </x:c>
      <x:c r="E289" t="str">
        <x:v>Second Hand</x:v>
      </x:c>
      <x:c r="F289" t="str"/>
      <x:c r="G289" t="str"/>
      <x:c r="H289" t="str">
        <x:v>Mosenzon 38, Tel Aviv</x:v>
      </x:c>
      <x:c r="I289" t="str">
        <x:v>Tel Aviv</x:v>
      </x:c>
      <x:c r="J289" t="str">
        <x:v>Kikar HaMedina / New North</x:v>
      </x:c>
      <x:c r="K289" s="14" t="n">
        <x:v>0.87</x:v>
      </x:c>
      <x:c r="L289" t="str">
        <x:v>Apartment</x:v>
      </x:c>
      <x:c r="M289" t="n">
        <x:v>4</x:v>
      </x:c>
      <x:c r="N289" s="16" t="n">
        <x:v>101.3</x:v>
      </x:c>
      <x:c r="O289" t="n">
        <x:v>2</x:v>
      </x:c>
      <x:c r="P289" t="n">
        <x:v>6</x:v>
      </x:c>
      <x:c r="Q289" s="18" t="n">
        <x:v>7250000</x:v>
      </x:c>
      <x:c r="R289" s="18" t="n">
        <x:f>IFERROR(Q289/N289,"")</x:f>
        <x:v>71569.59526159921</x:v>
      </x:c>
      <x:c r="S289" t="n">
        <x:v>2002</x:v>
      </x:c>
      <x:c r="T289" t="n">
        <x:v>24</x:v>
      </x:c>
      <x:c r="U289" t="str">
        <x:v>Renovated</x:v>
      </x:c>
      <x:c r="V289" s="16" t="n">
        <x:v>13.1</x:v>
      </x:c>
      <x:c r="W289" t="str">
        <x:v>East</x:v>
      </x:c>
      <x:c r="X289" t="n">
        <x:v>1</x:v>
      </x:c>
      <x:c r="Y289" s="16" t="n">
        <x:v>4.4</x:v>
      </x:c>
      <x:c r="Z289" s="1" t="b">
        <x:v>1</x:v>
      </x:c>
      <x:c r="AA289" t="str">
        <x:v>East, North</x:v>
      </x:c>
      <x:c r="AB289" s="16" t="n">
        <x:v>0</x:v>
      </x:c>
      <x:c r="AC289" s="16" t="n">
        <x:v>0</x:v>
      </x:c>
      <x:c r="AD289" s="1" t="b">
        <x:v>0</x:v>
      </x:c>
    </x:row>
    <x:row r="290">
      <x:c r="A290" t="str">
        <x:v>SYN-0289</x:v>
      </x:c>
      <x:c r="B290" s="12" t="n">
        <x:v>46225</x:v>
      </x:c>
      <x:c r="C290" t="str">
        <x:v>Synthetic Yad2-like Listing</x:v>
      </x:c>
      <x:c r="D290" t="str">
        <x:v>https://example.com/listings/SYN-0289</x:v>
      </x:c>
      <x:c r="E290" t="str">
        <x:v>Second Hand</x:v>
      </x:c>
      <x:c r="F290" t="str"/>
      <x:c r="G290" t="str"/>
      <x:c r="H290" t="str">
        <x:v>Bavli 147, Tel Aviv</x:v>
      </x:c>
      <x:c r="I290" t="str">
        <x:v>Tel Aviv</x:v>
      </x:c>
      <x:c r="J290" t="str">
        <x:v>Kikar HaMedina / New North</x:v>
      </x:c>
      <x:c r="K290" s="14" t="n">
        <x:v>0.88</x:v>
      </x:c>
      <x:c r="L290" t="str">
        <x:v>Apartment</x:v>
      </x:c>
      <x:c r="M290" t="n">
        <x:v>4</x:v>
      </x:c>
      <x:c r="N290" s="16" t="n">
        <x:v>90.9</x:v>
      </x:c>
      <x:c r="O290" t="n">
        <x:v>7</x:v>
      </x:c>
      <x:c r="P290" t="n">
        <x:v>13</x:v>
      </x:c>
      <x:c r="Q290" s="18" t="n">
        <x:v>6080000</x:v>
      </x:c>
      <x:c r="R290" s="18" t="n">
        <x:f>IFERROR(Q290/N290,"")</x:f>
        <x:v>66886.68866886689</x:v>
      </x:c>
      <x:c r="S290" t="n">
        <x:v>1978</x:v>
      </x:c>
      <x:c r="T290" t="n">
        <x:v>48</x:v>
      </x:c>
      <x:c r="U290" t="str">
        <x:v>Good</x:v>
      </x:c>
      <x:c r="V290" s="16" t="n">
        <x:v>0</x:v>
      </x:c>
      <x:c r="W290" t="str"/>
      <x:c r="X290" t="n">
        <x:v>1</x:v>
      </x:c>
      <x:c r="Y290" s="16" t="n">
        <x:v>0</x:v>
      </x:c>
      <x:c r="Z290" s="1" t="b">
        <x:v>1</x:v>
      </x:c>
      <x:c r="AA290" t="str">
        <x:v>North</x:v>
      </x:c>
      <x:c r="AB290" s="16" t="n">
        <x:v>0</x:v>
      </x:c>
      <x:c r="AC290" s="16" t="n">
        <x:v>0</x:v>
      </x:c>
      <x:c r="AD290" s="1" t="b">
        <x:v>0</x:v>
      </x:c>
    </x:row>
    <x:row r="291">
      <x:c r="A291" t="str">
        <x:v>SYN-0290</x:v>
      </x:c>
      <x:c r="B291" s="12" t="n">
        <x:v>46209</x:v>
      </x:c>
      <x:c r="C291" t="str">
        <x:v>Synthetic Yad2-like Listing</x:v>
      </x:c>
      <x:c r="D291" t="str">
        <x:v>https://example.com/listings/SYN-0290</x:v>
      </x:c>
      <x:c r="E291" t="str">
        <x:v>Second Hand</x:v>
      </x:c>
      <x:c r="F291" t="str"/>
      <x:c r="G291" t="str"/>
      <x:c r="H291" t="str">
        <x:v>Bavli 51, Tel Aviv</x:v>
      </x:c>
      <x:c r="I291" t="str">
        <x:v>Tel Aviv</x:v>
      </x:c>
      <x:c r="J291" t="str">
        <x:v>Kikar HaMedina / New North</x:v>
      </x:c>
      <x:c r="K291" s="14" t="n">
        <x:v>0.72</x:v>
      </x:c>
      <x:c r="L291" t="str">
        <x:v>Apartment</x:v>
      </x:c>
      <x:c r="M291" t="n">
        <x:v>4</x:v>
      </x:c>
      <x:c r="N291" s="16" t="n">
        <x:v>106</x:v>
      </x:c>
      <x:c r="O291" t="n">
        <x:v>2</x:v>
      </x:c>
      <x:c r="P291" t="n">
        <x:v>14</x:v>
      </x:c>
      <x:c r="Q291" s="18" t="n">
        <x:v>7370000</x:v>
      </x:c>
      <x:c r="R291" s="18" t="n">
        <x:f>IFERROR(Q291/N291,"")</x:f>
        <x:v>69528.30188679245</x:v>
      </x:c>
      <x:c r="S291" t="n">
        <x:v>1997</x:v>
      </x:c>
      <x:c r="T291" t="n">
        <x:v>29</x:v>
      </x:c>
      <x:c r="U291" t="str">
        <x:v>Good</x:v>
      </x:c>
      <x:c r="V291" s="16" t="n">
        <x:v>14.4</x:v>
      </x:c>
      <x:c r="W291" t="str">
        <x:v>West</x:v>
      </x:c>
      <x:c r="X291" t="n">
        <x:v>1</x:v>
      </x:c>
      <x:c r="Y291" s="16" t="n">
        <x:v>3.4</x:v>
      </x:c>
      <x:c r="Z291" s="1" t="b">
        <x:v>1</x:v>
      </x:c>
      <x:c r="AA291" t="str">
        <x:v>West, South</x:v>
      </x:c>
      <x:c r="AB291" s="16" t="n">
        <x:v>0</x:v>
      </x:c>
      <x:c r="AC291" s="16" t="n">
        <x:v>0</x:v>
      </x:c>
      <x:c r="AD291" s="1" t="b">
        <x:v>0</x:v>
      </x:c>
    </x:row>
    <x:row r="292">
      <x:c r="A292" t="str">
        <x:v>SYN-0291</x:v>
      </x:c>
      <x:c r="B292" s="12" t="n">
        <x:v>46255</x:v>
      </x:c>
      <x:c r="C292" t="str">
        <x:v>Synthetic Yad2-like Listing</x:v>
      </x:c>
      <x:c r="D292" t="str">
        <x:v>https://example.com/listings/SYN-0291</x:v>
      </x:c>
      <x:c r="E292" t="str">
        <x:v>Second Hand</x:v>
      </x:c>
      <x:c r="F292" t="str"/>
      <x:c r="G292" t="str"/>
      <x:c r="H292" t="str">
        <x:v>Mosenzon 144, Tel Aviv</x:v>
      </x:c>
      <x:c r="I292" t="str">
        <x:v>Tel Aviv</x:v>
      </x:c>
      <x:c r="J292" t="str">
        <x:v>Kikar HaMedina / New North</x:v>
      </x:c>
      <x:c r="K292" s="14" t="n">
        <x:v>0.67</x:v>
      </x:c>
      <x:c r="L292" t="str">
        <x:v>Apartment</x:v>
      </x:c>
      <x:c r="M292" t="n">
        <x:v>3</x:v>
      </x:c>
      <x:c r="N292" s="16" t="n">
        <x:v>76.3</x:v>
      </x:c>
      <x:c r="O292" t="n">
        <x:v>9</x:v>
      </x:c>
      <x:c r="P292" t="n">
        <x:v>18</x:v>
      </x:c>
      <x:c r="Q292" s="18" t="n">
        <x:v>5630000</x:v>
      </x:c>
      <x:c r="R292" s="18" t="n">
        <x:f>IFERROR(Q292/N292,"")</x:f>
        <x:v>73787.68020969856</x:v>
      </x:c>
      <x:c r="S292" t="n">
        <x:v>1983</x:v>
      </x:c>
      <x:c r="T292" t="n">
        <x:v>43</x:v>
      </x:c>
      <x:c r="U292" t="str">
        <x:v>Renovated</x:v>
      </x:c>
      <x:c r="V292" s="16" t="n">
        <x:v>0</x:v>
      </x:c>
      <x:c r="W292" t="str"/>
      <x:c r="X292" t="n">
        <x:v>1</x:v>
      </x:c>
      <x:c r="Y292" s="16" t="n">
        <x:v>9</x:v>
      </x:c>
      <x:c r="Z292" s="1" t="b">
        <x:v>1</x:v>
      </x:c>
      <x:c r="AA292" t="str">
        <x:v>East-West</x:v>
      </x:c>
      <x:c r="AB292" s="16" t="n">
        <x:v>0</x:v>
      </x:c>
      <x:c r="AC292" s="16" t="n">
        <x:v>0</x:v>
      </x:c>
      <x:c r="AD292" s="1" t="b">
        <x:v>0</x:v>
      </x:c>
    </x:row>
    <x:row r="293">
      <x:c r="A293" t="str">
        <x:v>SYN-0292</x:v>
      </x:c>
      <x:c r="B293" s="12" t="n">
        <x:v>46239</x:v>
      </x:c>
      <x:c r="C293" t="str">
        <x:v>Synthetic Yad2-like Listing</x:v>
      </x:c>
      <x:c r="D293" t="str">
        <x:v>https://example.com/listings/SYN-0292</x:v>
      </x:c>
      <x:c r="E293" t="str">
        <x:v>Second Hand</x:v>
      </x:c>
      <x:c r="F293" t="str"/>
      <x:c r="G293" t="str"/>
      <x:c r="H293" t="str">
        <x:v>Epstein 97, Tel Aviv</x:v>
      </x:c>
      <x:c r="I293" t="str">
        <x:v>Tel Aviv</x:v>
      </x:c>
      <x:c r="J293" t="str">
        <x:v>Kikar HaMedina / New North</x:v>
      </x:c>
      <x:c r="K293" s="14" t="n">
        <x:v>0.99</x:v>
      </x:c>
      <x:c r="L293" t="str">
        <x:v>Apartment</x:v>
      </x:c>
      <x:c r="M293" t="n">
        <x:v>2</x:v>
      </x:c>
      <x:c r="N293" s="16" t="n">
        <x:v>56.2</x:v>
      </x:c>
      <x:c r="O293" t="n">
        <x:v>6</x:v>
      </x:c>
      <x:c r="P293" t="n">
        <x:v>18</x:v>
      </x:c>
      <x:c r="Q293" s="18" t="n">
        <x:v>4400000</x:v>
      </x:c>
      <x:c r="R293" s="18" t="n">
        <x:f>IFERROR(Q293/N293,"")</x:f>
        <x:v>78291.81494661921</x:v>
      </x:c>
      <x:c r="S293" t="n">
        <x:v>1981</x:v>
      </x:c>
      <x:c r="T293" t="n">
        <x:v>45</x:v>
      </x:c>
      <x:c r="U293" t="str">
        <x:v>Renovated</x:v>
      </x:c>
      <x:c r="V293" s="16" t="n">
        <x:v>17.4</x:v>
      </x:c>
      <x:c r="W293" t="str">
        <x:v>South</x:v>
      </x:c>
      <x:c r="X293" t="n">
        <x:v>1</x:v>
      </x:c>
      <x:c r="Y293" s="16" t="n">
        <x:v>9.9</x:v>
      </x:c>
      <x:c r="Z293" s="1" t="b">
        <x:v>1</x:v>
      </x:c>
      <x:c r="AA293" t="str">
        <x:v>South, North</x:v>
      </x:c>
      <x:c r="AB293" s="16" t="n">
        <x:v>0</x:v>
      </x:c>
      <x:c r="AC293" s="16" t="n">
        <x:v>0</x:v>
      </x:c>
      <x:c r="AD293" s="1" t="b">
        <x:v>0</x:v>
      </x:c>
    </x:row>
    <x:row r="294">
      <x:c r="A294" t="str">
        <x:v>SYN-0293</x:v>
      </x:c>
      <x:c r="B294" s="12" t="n">
        <x:v>46235</x:v>
      </x:c>
      <x:c r="C294" t="str">
        <x:v>Synthetic Yad2-like Listing</x:v>
      </x:c>
      <x:c r="D294" t="str">
        <x:v>https://example.com/listings/SYN-0293</x:v>
      </x:c>
      <x:c r="E294" t="str">
        <x:v>Second Hand</x:v>
      </x:c>
      <x:c r="F294" t="str"/>
      <x:c r="G294" t="str"/>
      <x:c r="H294" t="str">
        <x:v>Pinkas 163, Tel Aviv</x:v>
      </x:c>
      <x:c r="I294" t="str">
        <x:v>Tel Aviv</x:v>
      </x:c>
      <x:c r="J294" t="str">
        <x:v>Kikar HaMedina / New North</x:v>
      </x:c>
      <x:c r="K294" s="14" t="n">
        <x:v>0.43</x:v>
      </x:c>
      <x:c r="L294" t="str">
        <x:v>Apartment</x:v>
      </x:c>
      <x:c r="M294" t="n">
        <x:v>4</x:v>
      </x:c>
      <x:c r="N294" s="16" t="n">
        <x:v>106.3</x:v>
      </x:c>
      <x:c r="O294" t="n">
        <x:v>3</x:v>
      </x:c>
      <x:c r="P294" t="n">
        <x:v>6</x:v>
      </x:c>
      <x:c r="Q294" s="18" t="n">
        <x:v>6760000</x:v>
      </x:c>
      <x:c r="R294" s="18" t="n">
        <x:f>IFERROR(Q294/N294,"")</x:f>
        <x:v>63593.60301034807</x:v>
      </x:c>
      <x:c r="S294" t="n">
        <x:v>1961</x:v>
      </x:c>
      <x:c r="T294" t="n">
        <x:v>65</x:v>
      </x:c>
      <x:c r="U294" t="str">
        <x:v>Good</x:v>
      </x:c>
      <x:c r="V294" s="16" t="n">
        <x:v>15.8</x:v>
      </x:c>
      <x:c r="W294" t="str">
        <x:v>North-East</x:v>
      </x:c>
      <x:c r="X294" t="n">
        <x:v>0</x:v>
      </x:c>
      <x:c r="Y294" s="16" t="n">
        <x:v>6.9</x:v>
      </x:c>
      <x:c r="Z294" s="1" t="b">
        <x:v>1</x:v>
      </x:c>
      <x:c r="AA294" t="str">
        <x:v>North-East, South</x:v>
      </x:c>
      <x:c r="AB294" s="16" t="n">
        <x:v>0</x:v>
      </x:c>
      <x:c r="AC294" s="16" t="n">
        <x:v>0</x:v>
      </x:c>
      <x:c r="AD294" s="1" t="b">
        <x:v>0</x:v>
      </x:c>
    </x:row>
    <x:row r="295">
      <x:c r="A295" t="str">
        <x:v>SYN-0294</x:v>
      </x:c>
      <x:c r="B295" s="12" t="n">
        <x:v>46220</x:v>
      </x:c>
      <x:c r="C295" t="str">
        <x:v>Synthetic Yad2-like Listing</x:v>
      </x:c>
      <x:c r="D295" t="str">
        <x:v>https://example.com/listings/SYN-0294</x:v>
      </x:c>
      <x:c r="E295" t="str">
        <x:v>Second Hand</x:v>
      </x:c>
      <x:c r="F295" t="str"/>
      <x:c r="G295" t="str"/>
      <x:c r="H295" t="str">
        <x:v>Lissin 178, Tel Aviv</x:v>
      </x:c>
      <x:c r="I295" t="str">
        <x:v>Tel Aviv</x:v>
      </x:c>
      <x:c r="J295" t="str">
        <x:v>Kikar HaMedina / New North</x:v>
      </x:c>
      <x:c r="K295" s="14" t="n">
        <x:v>0.85</x:v>
      </x:c>
      <x:c r="L295" t="str">
        <x:v>Apartment</x:v>
      </x:c>
      <x:c r="M295" t="n">
        <x:v>4</x:v>
      </x:c>
      <x:c r="N295" s="16" t="n">
        <x:v>88.6</x:v>
      </x:c>
      <x:c r="O295" t="n">
        <x:v>12</x:v>
      </x:c>
      <x:c r="P295" t="n">
        <x:v>15</x:v>
      </x:c>
      <x:c r="Q295" s="18" t="n">
        <x:v>5660000</x:v>
      </x:c>
      <x:c r="R295" s="18" t="n">
        <x:f>IFERROR(Q295/N295,"")</x:f>
        <x:v>63882.61851015802</x:v>
      </x:c>
      <x:c r="S295" t="n">
        <x:v>1976</x:v>
      </x:c>
      <x:c r="T295" t="n">
        <x:v>50</x:v>
      </x:c>
      <x:c r="U295" t="str">
        <x:v>Good</x:v>
      </x:c>
      <x:c r="V295" s="16" t="n">
        <x:v>0</x:v>
      </x:c>
      <x:c r="W295" t="str"/>
      <x:c r="X295" t="n">
        <x:v>1</x:v>
      </x:c>
      <x:c r="Y295" s="16" t="n">
        <x:v>6.4</x:v>
      </x:c>
      <x:c r="Z295" s="1" t="b">
        <x:v>1</x:v>
      </x:c>
      <x:c r="AA295" t="str">
        <x:v>North-South</x:v>
      </x:c>
      <x:c r="AB295" s="16" t="n">
        <x:v>0</x:v>
      </x:c>
      <x:c r="AC295" s="16" t="n">
        <x:v>0</x:v>
      </x:c>
      <x:c r="AD295" s="1" t="b">
        <x:v>0</x:v>
      </x:c>
    </x:row>
    <x:row r="296">
      <x:c r="A296" t="str">
        <x:v>SYN-0295</x:v>
      </x:c>
      <x:c r="B296" s="12" t="n">
        <x:v>46255</x:v>
      </x:c>
      <x:c r="C296" t="str">
        <x:v>Synthetic New-Project Listing</x:v>
      </x:c>
      <x:c r="D296" t="str">
        <x:v>https://example.com/listings/SYN-0295</x:v>
      </x:c>
      <x:c r="E296" t="str">
        <x:v>New Project</x:v>
      </x:c>
      <x:c r="F296" t="str">
        <x:v>Medina Boutique</x:v>
      </x:c>
      <x:c r="G296" t="str">
        <x:v>Sample Development E</x:v>
      </x:c>
      <x:c r="H296" t="str">
        <x:v>Jabotinsky 25, Tel Aviv</x:v>
      </x:c>
      <x:c r="I296" t="str">
        <x:v>Tel Aviv</x:v>
      </x:c>
      <x:c r="J296" t="str">
        <x:v>Kikar HaMedina / New North</x:v>
      </x:c>
      <x:c r="K296" s="14" t="n">
        <x:v>0.56</x:v>
      </x:c>
      <x:c r="L296" t="str">
        <x:v>Duplex</x:v>
      </x:c>
      <x:c r="M296" t="n">
        <x:v>2</x:v>
      </x:c>
      <x:c r="N296" s="16" t="n">
        <x:v>50.5</x:v>
      </x:c>
      <x:c r="O296" t="n">
        <x:v>11</x:v>
      </x:c>
      <x:c r="P296" t="n">
        <x:v>13</x:v>
      </x:c>
      <x:c r="Q296" s="18" t="n">
        <x:v>4760000</x:v>
      </x:c>
      <x:c r="R296" s="18" t="n">
        <x:f>IFERROR(Q296/N296,"")</x:f>
        <x:v>94257.42574257425</x:v>
      </x:c>
      <x:c r="S296" t="n">
        <x:v>2025</x:v>
      </x:c>
      <x:c r="T296" t="n">
        <x:v>1</x:v>
      </x:c>
      <x:c r="U296" t="str">
        <x:v>New</x:v>
      </x:c>
      <x:c r="V296" s="16" t="n">
        <x:v>18.2</x:v>
      </x:c>
      <x:c r="W296" t="str">
        <x:v>North-West</x:v>
      </x:c>
      <x:c r="X296" t="n">
        <x:v>1</x:v>
      </x:c>
      <x:c r="Y296" s="16" t="n">
        <x:v>7.5</x:v>
      </x:c>
      <x:c r="Z296" s="1" t="b">
        <x:v>1</x:v>
      </x:c>
      <x:c r="AA296" t="str">
        <x:v>North-West</x:v>
      </x:c>
      <x:c r="AB296" s="16" t="n">
        <x:v>0</x:v>
      </x:c>
      <x:c r="AC296" s="16" t="n">
        <x:v>0</x:v>
      </x:c>
      <x:c r="AD296" s="1" t="b">
        <x:v>0</x:v>
      </x:c>
    </x:row>
    <x:row r="297">
      <x:c r="A297" t="str">
        <x:v>SYN-0296</x:v>
      </x:c>
      <x:c r="B297" s="12" t="n">
        <x:v>46237</x:v>
      </x:c>
      <x:c r="C297" t="str">
        <x:v>Synthetic New-Project Listing</x:v>
      </x:c>
      <x:c r="D297" t="str">
        <x:v>https://example.com/listings/SYN-0296</x:v>
      </x:c>
      <x:c r="E297" t="str">
        <x:v>New Project</x:v>
      </x:c>
      <x:c r="F297" t="str">
        <x:v>Kikar Residence</x:v>
      </x:c>
      <x:c r="G297" t="str">
        <x:v>Sample Development A</x:v>
      </x:c>
      <x:c r="H297" t="str">
        <x:v>Jabotinsky 40, Tel Aviv</x:v>
      </x:c>
      <x:c r="I297" t="str">
        <x:v>Tel Aviv</x:v>
      </x:c>
      <x:c r="J297" t="str">
        <x:v>Kikar HaMedina / New North</x:v>
      </x:c>
      <x:c r="K297" s="14" t="n">
        <x:v>0.5</x:v>
      </x:c>
      <x:c r="L297" t="str">
        <x:v>Apartment</x:v>
      </x:c>
      <x:c r="M297" t="n">
        <x:v>4</x:v>
      </x:c>
      <x:c r="N297" s="16" t="n">
        <x:v>101.8</x:v>
      </x:c>
      <x:c r="O297" t="n">
        <x:v>1</x:v>
      </x:c>
      <x:c r="P297" t="n">
        <x:v>12</x:v>
      </x:c>
      <x:c r="Q297" s="18" t="n">
        <x:v>8070000</x:v>
      </x:c>
      <x:c r="R297" s="18" t="n">
        <x:f>IFERROR(Q297/N297,"")</x:f>
        <x:v>79273.08447937132</x:v>
      </x:c>
      <x:c r="S297" t="n">
        <x:v>2025</x:v>
      </x:c>
      <x:c r="T297" t="n">
        <x:v>1</x:v>
      </x:c>
      <x:c r="U297" t="str">
        <x:v>New</x:v>
      </x:c>
      <x:c r="V297" s="16" t="n">
        <x:v>8.2</x:v>
      </x:c>
      <x:c r="W297" t="str">
        <x:v>North-East</x:v>
      </x:c>
      <x:c r="X297" t="n">
        <x:v>1</x:v>
      </x:c>
      <x:c r="Y297" s="16" t="n">
        <x:v>5.4</x:v>
      </x:c>
      <x:c r="Z297" s="1" t="b">
        <x:v>1</x:v>
      </x:c>
      <x:c r="AA297" t="str">
        <x:v>North-East, East</x:v>
      </x:c>
      <x:c r="AB297" s="16" t="n">
        <x:v>0</x:v>
      </x:c>
      <x:c r="AC297" s="16" t="n">
        <x:v>0</x:v>
      </x:c>
      <x:c r="AD297" s="1" t="b">
        <x:v>0</x:v>
      </x:c>
    </x:row>
    <x:row r="298">
      <x:c r="A298" t="str">
        <x:v>SYN-0297</x:v>
      </x:c>
      <x:c r="B298" s="12" t="n">
        <x:v>46213</x:v>
      </x:c>
      <x:c r="C298" t="str">
        <x:v>Synthetic Yad2-like Listing</x:v>
      </x:c>
      <x:c r="D298" t="str">
        <x:v>https://example.com/listings/SYN-0297</x:v>
      </x:c>
      <x:c r="E298" t="str">
        <x:v>Second Hand</x:v>
      </x:c>
      <x:c r="F298" t="str"/>
      <x:c r="G298" t="str"/>
      <x:c r="H298" t="str">
        <x:v>Klay 78, Tel Aviv</x:v>
      </x:c>
      <x:c r="I298" t="str">
        <x:v>Tel Aviv</x:v>
      </x:c>
      <x:c r="J298" t="str">
        <x:v>Kikar HaMedina / New North</x:v>
      </x:c>
      <x:c r="K298" s="14" t="n">
        <x:v>0.61</x:v>
      </x:c>
      <x:c r="L298" t="str">
        <x:v>Apartment</x:v>
      </x:c>
      <x:c r="M298" t="n">
        <x:v>4</x:v>
      </x:c>
      <x:c r="N298" s="16" t="n">
        <x:v>102</x:v>
      </x:c>
      <x:c r="O298" t="n">
        <x:v>12</x:v>
      </x:c>
      <x:c r="P298" t="n">
        <x:v>13</x:v>
      </x:c>
      <x:c r="Q298" s="18" t="n">
        <x:v>6990000</x:v>
      </x:c>
      <x:c r="R298" s="18" t="n">
        <x:f>IFERROR(Q298/N298,"")</x:f>
        <x:v>68529.41176470589</x:v>
      </x:c>
      <x:c r="S298" t="n">
        <x:v>2016</x:v>
      </x:c>
      <x:c r="T298" t="n">
        <x:v>10</x:v>
      </x:c>
      <x:c r="U298" t="str">
        <x:v>Needs Renovation</x:v>
      </x:c>
      <x:c r="V298" s="16" t="n">
        <x:v>10.1</x:v>
      </x:c>
      <x:c r="W298" t="str">
        <x:v>North</x:v>
      </x:c>
      <x:c r="X298" t="n">
        <x:v>1</x:v>
      </x:c>
      <x:c r="Y298" s="16" t="n">
        <x:v>5.5</x:v>
      </x:c>
      <x:c r="Z298" s="1" t="b">
        <x:v>1</x:v>
      </x:c>
      <x:c r="AA298" t="str">
        <x:v>North, West</x:v>
      </x:c>
      <x:c r="AB298" s="16" t="n">
        <x:v>0</x:v>
      </x:c>
      <x:c r="AC298" s="16" t="n">
        <x:v>0</x:v>
      </x:c>
      <x:c r="AD298" s="1" t="b">
        <x:v>1</x:v>
      </x:c>
    </x:row>
    <x:row r="299">
      <x:c r="A299" t="str">
        <x:v>SYN-0298</x:v>
      </x:c>
      <x:c r="B299" s="12" t="n">
        <x:v>46208</x:v>
      </x:c>
      <x:c r="C299" t="str">
        <x:v>Synthetic Yad2-like Listing</x:v>
      </x:c>
      <x:c r="D299" t="str">
        <x:v>https://example.com/listings/SYN-0298</x:v>
      </x:c>
      <x:c r="E299" t="str">
        <x:v>Second Hand</x:v>
      </x:c>
      <x:c r="F299" t="str"/>
      <x:c r="G299" t="str"/>
      <x:c r="H299" t="str">
        <x:v>Helsinki 169, Tel Aviv</x:v>
      </x:c>
      <x:c r="I299" t="str">
        <x:v>Tel Aviv</x:v>
      </x:c>
      <x:c r="J299" t="str">
        <x:v>Kikar HaMedina / New North</x:v>
      </x:c>
      <x:c r="K299" s="14" t="n">
        <x:v>0.05</x:v>
      </x:c>
      <x:c r="L299" t="str">
        <x:v>Apartment</x:v>
      </x:c>
      <x:c r="M299" t="n">
        <x:v>3</x:v>
      </x:c>
      <x:c r="N299" s="16" t="n">
        <x:v>69.8</x:v>
      </x:c>
      <x:c r="O299" t="n">
        <x:v>1</x:v>
      </x:c>
      <x:c r="P299" t="n">
        <x:v>10</x:v>
      </x:c>
      <x:c r="Q299" s="18" t="n">
        <x:v>4540000</x:v>
      </x:c>
      <x:c r="R299" s="18" t="n">
        <x:f>IFERROR(Q299/N299,"")</x:f>
        <x:v>65042.97994269341</x:v>
      </x:c>
      <x:c r="S299" t="n">
        <x:v>1962</x:v>
      </x:c>
      <x:c r="T299" t="n">
        <x:v>64</x:v>
      </x:c>
      <x:c r="U299" t="str">
        <x:v>Renovated</x:v>
      </x:c>
      <x:c r="V299" s="16" t="n">
        <x:v>0</x:v>
      </x:c>
      <x:c r="W299" t="str"/>
      <x:c r="X299" t="n">
        <x:v>1</x:v>
      </x:c>
      <x:c r="Y299" s="16" t="n">
        <x:v>0</x:v>
      </x:c>
      <x:c r="Z299" s="1" t="b">
        <x:v>1</x:v>
      </x:c>
      <x:c r="AA299" t="str">
        <x:v>North-South</x:v>
      </x:c>
      <x:c r="AB299" s="16" t="n">
        <x:v>0</x:v>
      </x:c>
      <x:c r="AC299" s="16" t="n">
        <x:v>0</x:v>
      </x:c>
      <x:c r="AD299" s="1" t="b">
        <x:v>0</x:v>
      </x:c>
    </x:row>
    <x:row r="300">
      <x:c r="A300" t="str">
        <x:v>SYN-0299</x:v>
      </x:c>
      <x:c r="B300" s="12" t="n">
        <x:v>46217</x:v>
      </x:c>
      <x:c r="C300" t="str">
        <x:v>Synthetic New-Project Listing</x:v>
      </x:c>
      <x:c r="D300" t="str">
        <x:v>https://example.com/listings/SYN-0299</x:v>
      </x:c>
      <x:c r="E300" t="str">
        <x:v>New Project</x:v>
      </x:c>
      <x:c r="F300" t="str">
        <x:v>Medina Boutique</x:v>
      </x:c>
      <x:c r="G300" t="str">
        <x:v>Sample Development E</x:v>
      </x:c>
      <x:c r="H300" t="str">
        <x:v>Mosenzon 157, Tel Aviv</x:v>
      </x:c>
      <x:c r="I300" t="str">
        <x:v>Tel Aviv</x:v>
      </x:c>
      <x:c r="J300" t="str">
        <x:v>Kikar HaMedina / New North</x:v>
      </x:c>
      <x:c r="K300" s="14" t="n">
        <x:v>0.71</x:v>
      </x:c>
      <x:c r="L300" t="str">
        <x:v>Apartment</x:v>
      </x:c>
      <x:c r="M300" t="n">
        <x:v>2</x:v>
      </x:c>
      <x:c r="N300" s="16" t="n">
        <x:v>47.4</x:v>
      </x:c>
      <x:c r="O300" t="n">
        <x:v>1</x:v>
      </x:c>
      <x:c r="P300" t="n">
        <x:v>18</x:v>
      </x:c>
      <x:c r="Q300" s="18" t="n">
        <x:v>3820000</x:v>
      </x:c>
      <x:c r="R300" s="18" t="n">
        <x:f>IFERROR(Q300/N300,"")</x:f>
        <x:v>80590.71729957806</x:v>
      </x:c>
      <x:c r="S300" t="n">
        <x:v>2026</x:v>
      </x:c>
      <x:c r="T300" t="n">
        <x:v>0</x:v>
      </x:c>
      <x:c r="U300" t="str">
        <x:v>New</x:v>
      </x:c>
      <x:c r="V300" s="16" t="n">
        <x:v>11.2</x:v>
      </x:c>
      <x:c r="W300" t="str">
        <x:v>North-West</x:v>
      </x:c>
      <x:c r="X300" t="n">
        <x:v>1</x:v>
      </x:c>
      <x:c r="Y300" s="16" t="n">
        <x:v>8.2</x:v>
      </x:c>
      <x:c r="Z300" s="1" t="b">
        <x:v>1</x:v>
      </x:c>
      <x:c r="AA300" t="str">
        <x:v>North-West</x:v>
      </x:c>
      <x:c r="AB300" s="16" t="n">
        <x:v>0</x:v>
      </x:c>
      <x:c r="AC300" s="16" t="n">
        <x:v>0</x:v>
      </x:c>
      <x:c r="AD300" s="1" t="b">
        <x:v>0</x:v>
      </x:c>
    </x:row>
    <x:row r="301">
      <x:c r="A301" t="str">
        <x:v>SYN-0300</x:v>
      </x:c>
      <x:c r="B301" s="12" t="n">
        <x:v>46217</x:v>
      </x:c>
      <x:c r="C301" t="str">
        <x:v>Synthetic Yad2-like Listing</x:v>
      </x:c>
      <x:c r="D301" t="str">
        <x:v>https://example.com/listings/SYN-0300</x:v>
      </x:c>
      <x:c r="E301" t="str">
        <x:v>Second Hand</x:v>
      </x:c>
      <x:c r="F301" t="str"/>
      <x:c r="G301" t="str"/>
      <x:c r="H301" t="str">
        <x:v>Lissin 173, Tel Aviv</x:v>
      </x:c>
      <x:c r="I301" t="str">
        <x:v>Tel Aviv</x:v>
      </x:c>
      <x:c r="J301" t="str">
        <x:v>Kikar HaMedina / New North</x:v>
      </x:c>
      <x:c r="K301" s="14" t="n">
        <x:v>0.78</x:v>
      </x:c>
      <x:c r="L301" t="str">
        <x:v>Duplex</x:v>
      </x:c>
      <x:c r="M301" t="n">
        <x:v>5</x:v>
      </x:c>
      <x:c r="N301" s="16" t="n">
        <x:v>116.5</x:v>
      </x:c>
      <x:c r="O301" t="n">
        <x:v>12</x:v>
      </x:c>
      <x:c r="P301" t="n">
        <x:v>17</x:v>
      </x:c>
      <x:c r="Q301" s="18" t="n">
        <x:v>7860000</x:v>
      </x:c>
      <x:c r="R301" s="18" t="n">
        <x:f>IFERROR(Q301/N301,"")</x:f>
        <x:v>67467.81115879829</x:v>
      </x:c>
      <x:c r="S301" t="n">
        <x:v>2004</x:v>
      </x:c>
      <x:c r="T301" t="n">
        <x:v>22</x:v>
      </x:c>
      <x:c r="U301" t="str">
        <x:v>Good</x:v>
      </x:c>
      <x:c r="V301" s="16" t="n">
        <x:v>0</x:v>
      </x:c>
      <x:c r="W301" t="str"/>
      <x:c r="X301" t="n">
        <x:v>0</x:v>
      </x:c>
      <x:c r="Y301" s="16" t="n">
        <x:v>0</x:v>
      </x:c>
      <x:c r="Z301" s="1" t="b">
        <x:v>1</x:v>
      </x:c>
      <x:c r="AA301" t="str">
        <x:v>North</x:v>
      </x:c>
      <x:c r="AB301" s="16" t="n">
        <x:v>0</x:v>
      </x:c>
      <x:c r="AC301" s="16" t="n">
        <x:v>0</x:v>
      </x:c>
      <x:c r="AD301" s="1" t="b">
        <x:v>0</x:v>
      </x:c>
    </x:row>
    <x:row r="302">
      <x:c r="A302" t="str">
        <x:v>SYN-0301</x:v>
      </x:c>
      <x:c r="B302" s="12" t="n">
        <x:v>46231</x:v>
      </x:c>
      <x:c r="C302" t="str">
        <x:v>Synthetic Yad2-like Listing</x:v>
      </x:c>
      <x:c r="D302" t="str">
        <x:v>https://example.com/listings/SYN-0301</x:v>
      </x:c>
      <x:c r="E302" t="str">
        <x:v>Second Hand</x:v>
      </x:c>
      <x:c r="F302" t="str"/>
      <x:c r="G302" t="str"/>
      <x:c r="H302" t="str">
        <x:v>Biltmore 80, Tel Aviv</x:v>
      </x:c>
      <x:c r="I302" t="str">
        <x:v>Tel Aviv</x:v>
      </x:c>
      <x:c r="J302" t="str">
        <x:v>Kikar HaMedina / New North</x:v>
      </x:c>
      <x:c r="K302" s="14" t="n">
        <x:v>0.88</x:v>
      </x:c>
      <x:c r="L302" t="str">
        <x:v>Apartment</x:v>
      </x:c>
      <x:c r="M302" t="n">
        <x:v>3</x:v>
      </x:c>
      <x:c r="N302" s="16" t="n">
        <x:v>82.5</x:v>
      </x:c>
      <x:c r="O302" t="n">
        <x:v>5</x:v>
      </x:c>
      <x:c r="P302" t="n">
        <x:v>7</x:v>
      </x:c>
      <x:c r="Q302" s="18" t="n">
        <x:v>5740000</x:v>
      </x:c>
      <x:c r="R302" s="18" t="n">
        <x:f>IFERROR(Q302/N302,"")</x:f>
        <x:v>69575.75757575757</x:v>
      </x:c>
      <x:c r="S302" t="n">
        <x:v>1980</x:v>
      </x:c>
      <x:c r="T302" t="n">
        <x:v>46</x:v>
      </x:c>
      <x:c r="U302" t="str">
        <x:v>Good</x:v>
      </x:c>
      <x:c r="V302" s="16" t="n">
        <x:v>15.9</x:v>
      </x:c>
      <x:c r="W302" t="str">
        <x:v>North-West</x:v>
      </x:c>
      <x:c r="X302" t="n">
        <x:v>1</x:v>
      </x:c>
      <x:c r="Y302" s="16" t="n">
        <x:v>0</x:v>
      </x:c>
      <x:c r="Z302" s="1" t="b">
        <x:v>1</x:v>
      </x:c>
      <x:c r="AA302" t="str">
        <x:v>North-West</x:v>
      </x:c>
      <x:c r="AB302" s="16" t="n">
        <x:v>0</x:v>
      </x:c>
      <x:c r="AC302" s="16" t="n">
        <x:v>0</x:v>
      </x:c>
      <x:c r="AD302" s="1" t="b">
        <x:v>0</x:v>
      </x:c>
    </x:row>
    <x:row r="303">
      <x:c r="A303" t="str">
        <x:v>SYN-0302</x:v>
      </x:c>
      <x:c r="B303" s="12" t="n">
        <x:v>46227</x:v>
      </x:c>
      <x:c r="C303" t="str">
        <x:v>Synthetic New-Project Listing</x:v>
      </x:c>
      <x:c r="D303" t="str">
        <x:v>https://example.com/listings/SYN-0302</x:v>
      </x:c>
      <x:c r="E303" t="str">
        <x:v>New Project</x:v>
      </x:c>
      <x:c r="F303" t="str">
        <x:v>Weizmann Urban</x:v>
      </x:c>
      <x:c r="G303" t="str">
        <x:v>Sample Development B</x:v>
      </x:c>
      <x:c r="H303" t="str">
        <x:v>Biltmore 103, Tel Aviv</x:v>
      </x:c>
      <x:c r="I303" t="str">
        <x:v>Tel Aviv</x:v>
      </x:c>
      <x:c r="J303" t="str">
        <x:v>Kikar HaMedina / New North</x:v>
      </x:c>
      <x:c r="K303" s="14" t="n">
        <x:v>0.99</x:v>
      </x:c>
      <x:c r="L303" t="str">
        <x:v>Apartment</x:v>
      </x:c>
      <x:c r="M303" t="n">
        <x:v>2</x:v>
      </x:c>
      <x:c r="N303" s="16" t="n">
        <x:v>57.8</x:v>
      </x:c>
      <x:c r="O303" t="n">
        <x:v>7</x:v>
      </x:c>
      <x:c r="P303" t="n">
        <x:v>18</x:v>
      </x:c>
      <x:c r="Q303" s="18" t="n">
        <x:v>5090000</x:v>
      </x:c>
      <x:c r="R303" s="18" t="n">
        <x:f>IFERROR(Q303/N303,"")</x:f>
        <x:v>88062.28373702422</x:v>
      </x:c>
      <x:c r="S303" t="n">
        <x:v>2025</x:v>
      </x:c>
      <x:c r="T303" t="n">
        <x:v>1</x:v>
      </x:c>
      <x:c r="U303" t="str">
        <x:v>New</x:v>
      </x:c>
      <x:c r="V303" s="16" t="n">
        <x:v>18.8</x:v>
      </x:c>
      <x:c r="W303" t="str">
        <x:v>South</x:v>
      </x:c>
      <x:c r="X303" t="n">
        <x:v>1</x:v>
      </x:c>
      <x:c r="Y303" s="16" t="n">
        <x:v>7.7</x:v>
      </x:c>
      <x:c r="Z303" s="1" t="b">
        <x:v>1</x:v>
      </x:c>
      <x:c r="AA303" t="str">
        <x:v>South, North</x:v>
      </x:c>
      <x:c r="AB303" s="16" t="n">
        <x:v>0</x:v>
      </x:c>
      <x:c r="AC303" s="16" t="n">
        <x:v>0</x:v>
      </x:c>
      <x:c r="AD303" s="1" t="b">
        <x:v>0</x:v>
      </x:c>
    </x:row>
    <x:row r="304">
      <x:c r="A304" t="str">
        <x:v>SYN-0303</x:v>
      </x:c>
      <x:c r="B304" s="12" t="n">
        <x:v>46235</x:v>
      </x:c>
      <x:c r="C304" t="str">
        <x:v>Synthetic Yad2-like Listing</x:v>
      </x:c>
      <x:c r="D304" t="str">
        <x:v>https://example.com/listings/SYN-0303</x:v>
      </x:c>
      <x:c r="E304" t="str">
        <x:v>Second Hand</x:v>
      </x:c>
      <x:c r="F304" t="str"/>
      <x:c r="G304" t="str"/>
      <x:c r="H304" t="str">
        <x:v>Epstein 131, Tel Aviv</x:v>
      </x:c>
      <x:c r="I304" t="str">
        <x:v>Tel Aviv</x:v>
      </x:c>
      <x:c r="J304" t="str">
        <x:v>Kikar HaMedina / New North</x:v>
      </x:c>
      <x:c r="K304" s="14" t="n">
        <x:v>0.99</x:v>
      </x:c>
      <x:c r="L304" t="str">
        <x:v>Apartment</x:v>
      </x:c>
      <x:c r="M304" t="n">
        <x:v>3</x:v>
      </x:c>
      <x:c r="N304" s="16" t="n">
        <x:v>78.7</x:v>
      </x:c>
      <x:c r="O304" t="n">
        <x:v>6</x:v>
      </x:c>
      <x:c r="P304" t="n">
        <x:v>8</x:v>
      </x:c>
      <x:c r="Q304" s="18" t="n">
        <x:v>5090000</x:v>
      </x:c>
      <x:c r="R304" s="18" t="n">
        <x:f>IFERROR(Q304/N304,"")</x:f>
        <x:v>64675.98475222363</x:v>
      </x:c>
      <x:c r="S304" t="n">
        <x:v>1982</x:v>
      </x:c>
      <x:c r="T304" t="n">
        <x:v>44</x:v>
      </x:c>
      <x:c r="U304" t="str">
        <x:v>Good</x:v>
      </x:c>
      <x:c r="V304" s="16" t="n">
        <x:v>16</x:v>
      </x:c>
      <x:c r="W304" t="str">
        <x:v>North-East</x:v>
      </x:c>
      <x:c r="X304" t="n">
        <x:v>0</x:v>
      </x:c>
      <x:c r="Y304" s="16" t="n">
        <x:v>0</x:v>
      </x:c>
      <x:c r="Z304" s="1" t="b">
        <x:v>0</x:v>
      </x:c>
      <x:c r="AA304" t="str">
        <x:v>North-East, East</x:v>
      </x:c>
      <x:c r="AB304" s="16" t="n">
        <x:v>0</x:v>
      </x:c>
      <x:c r="AC304" s="16" t="n">
        <x:v>0</x:v>
      </x:c>
      <x:c r="AD304" s="1" t="b">
        <x:v>0</x:v>
      </x:c>
    </x:row>
    <x:row r="305">
      <x:c r="A305" t="str">
        <x:v>SYN-0304</x:v>
      </x:c>
      <x:c r="B305" s="12" t="n">
        <x:v>46238</x:v>
      </x:c>
      <x:c r="C305" t="str">
        <x:v>Synthetic New-Project Listing</x:v>
      </x:c>
      <x:c r="D305" t="str">
        <x:v>https://example.com/listings/SYN-0304</x:v>
      </x:c>
      <x:c r="E305" t="str">
        <x:v>New Project</x:v>
      </x:c>
      <x:c r="F305" t="str">
        <x:v>North TLV Living</x:v>
      </x:c>
      <x:c r="G305" t="str">
        <x:v>Sample Development D</x:v>
      </x:c>
      <x:c r="H305" t="str">
        <x:v>Lissin 52, Tel Aviv</x:v>
      </x:c>
      <x:c r="I305" t="str">
        <x:v>Tel Aviv</x:v>
      </x:c>
      <x:c r="J305" t="str">
        <x:v>Kikar HaMedina / New North</x:v>
      </x:c>
      <x:c r="K305" s="14" t="n">
        <x:v>0.58</x:v>
      </x:c>
      <x:c r="L305" t="str">
        <x:v>Apartment</x:v>
      </x:c>
      <x:c r="M305" t="n">
        <x:v>5</x:v>
      </x:c>
      <x:c r="N305" s="16" t="n">
        <x:v>112.8</x:v>
      </x:c>
      <x:c r="O305" t="n">
        <x:v>11</x:v>
      </x:c>
      <x:c r="P305" t="n">
        <x:v>12</x:v>
      </x:c>
      <x:c r="Q305" s="18" t="n">
        <x:v>9020000</x:v>
      </x:c>
      <x:c r="R305" s="18" t="n">
        <x:f>IFERROR(Q305/N305,"")</x:f>
        <x:v>79964.5390070922</x:v>
      </x:c>
      <x:c r="S305" t="n">
        <x:v>2027</x:v>
      </x:c>
      <x:c r="T305" t="n">
        <x:v>0</x:v>
      </x:c>
      <x:c r="U305" t="str">
        <x:v>New</x:v>
      </x:c>
      <x:c r="V305" s="16" t="n">
        <x:v>12.3</x:v>
      </x:c>
      <x:c r="W305" t="str">
        <x:v>North-West</x:v>
      </x:c>
      <x:c r="X305" t="n">
        <x:v>1</x:v>
      </x:c>
      <x:c r="Y305" s="16" t="n">
        <x:v>3.5</x:v>
      </x:c>
      <x:c r="Z305" s="1" t="b">
        <x:v>1</x:v>
      </x:c>
      <x:c r="AA305" t="str">
        <x:v>North-West, South</x:v>
      </x:c>
      <x:c r="AB305" s="16" t="n">
        <x:v>0</x:v>
      </x:c>
      <x:c r="AC305" s="16" t="n">
        <x:v>0</x:v>
      </x:c>
      <x:c r="AD305" s="1" t="b">
        <x:v>1</x:v>
      </x:c>
    </x:row>
    <x:row r="306">
      <x:c r="A306" t="str">
        <x:v>SYN-0305</x:v>
      </x:c>
      <x:c r="B306" s="12" t="n">
        <x:v>46247</x:v>
      </x:c>
      <x:c r="C306" t="str">
        <x:v>Synthetic Yad2-like Listing</x:v>
      </x:c>
      <x:c r="D306" t="str">
        <x:v>https://example.com/listings/SYN-0305</x:v>
      </x:c>
      <x:c r="E306" t="str">
        <x:v>Second Hand</x:v>
      </x:c>
      <x:c r="F306" t="str"/>
      <x:c r="G306" t="str"/>
      <x:c r="H306" t="str">
        <x:v>Lissin 100, Tel Aviv</x:v>
      </x:c>
      <x:c r="I306" t="str">
        <x:v>Tel Aviv</x:v>
      </x:c>
      <x:c r="J306" t="str">
        <x:v>Kikar HaMedina / New North</x:v>
      </x:c>
      <x:c r="K306" s="14" t="n">
        <x:v>0.59</x:v>
      </x:c>
      <x:c r="L306" t="str">
        <x:v>Apartment</x:v>
      </x:c>
      <x:c r="M306" t="n">
        <x:v>5</x:v>
      </x:c>
      <x:c r="N306" s="16" t="n">
        <x:v>112.8</x:v>
      </x:c>
      <x:c r="O306" t="n">
        <x:v>6</x:v>
      </x:c>
      <x:c r="P306" t="n">
        <x:v>8</x:v>
      </x:c>
      <x:c r="Q306" s="18" t="n">
        <x:v>8380000</x:v>
      </x:c>
      <x:c r="R306" s="18" t="n">
        <x:f>IFERROR(Q306/N306,"")</x:f>
        <x:v>74290.78014184398</x:v>
      </x:c>
      <x:c r="S306" t="n">
        <x:v>2016</x:v>
      </x:c>
      <x:c r="T306" t="n">
        <x:v>10</x:v>
      </x:c>
      <x:c r="U306" t="str">
        <x:v>Good</x:v>
      </x:c>
      <x:c r="V306" s="16" t="n">
        <x:v>17</x:v>
      </x:c>
      <x:c r="W306" t="str">
        <x:v>South-West</x:v>
      </x:c>
      <x:c r="X306" t="n">
        <x:v>2</x:v>
      </x:c>
      <x:c r="Y306" s="16" t="n">
        <x:v>0</x:v>
      </x:c>
      <x:c r="Z306" s="1" t="b">
        <x:v>1</x:v>
      </x:c>
      <x:c r="AA306" t="str">
        <x:v>South-West</x:v>
      </x:c>
      <x:c r="AB306" s="16" t="n">
        <x:v>0</x:v>
      </x:c>
      <x:c r="AC306" s="16" t="n">
        <x:v>0</x:v>
      </x:c>
      <x:c r="AD306" s="1" t="b">
        <x:v>0</x:v>
      </x:c>
    </x:row>
    <x:row r="307">
      <x:c r="A307" t="str">
        <x:v>SYN-0306</x:v>
      </x:c>
      <x:c r="B307" s="12" t="n">
        <x:v>46225</x:v>
      </x:c>
      <x:c r="C307" t="str">
        <x:v>Synthetic Yad2-like Listing</x:v>
      </x:c>
      <x:c r="D307" t="str">
        <x:v>https://example.com/listings/SYN-0306</x:v>
      </x:c>
      <x:c r="E307" t="str">
        <x:v>Second Hand</x:v>
      </x:c>
      <x:c r="F307" t="str"/>
      <x:c r="G307" t="str"/>
      <x:c r="H307" t="str">
        <x:v>Pinkas 94, Tel Aviv</x:v>
      </x:c>
      <x:c r="I307" t="str">
        <x:v>Tel Aviv</x:v>
      </x:c>
      <x:c r="J307" t="str">
        <x:v>Kikar HaMedina / New North</x:v>
      </x:c>
      <x:c r="K307" s="14" t="n">
        <x:v>0.48</x:v>
      </x:c>
      <x:c r="L307" t="str">
        <x:v>Duplex</x:v>
      </x:c>
      <x:c r="M307" t="n">
        <x:v>4</x:v>
      </x:c>
      <x:c r="N307" s="16" t="n">
        <x:v>99.2</x:v>
      </x:c>
      <x:c r="O307" t="n">
        <x:v>2</x:v>
      </x:c>
      <x:c r="P307" t="n">
        <x:v>12</x:v>
      </x:c>
      <x:c r="Q307" s="18" t="n">
        <x:v>7240000</x:v>
      </x:c>
      <x:c r="R307" s="18" t="n">
        <x:f>IFERROR(Q307/N307,"")</x:f>
        <x:v>72983.87096774194</x:v>
      </x:c>
      <x:c r="S307" t="n">
        <x:v>1961</x:v>
      </x:c>
      <x:c r="T307" t="n">
        <x:v>65</x:v>
      </x:c>
      <x:c r="U307" t="str">
        <x:v>Good</x:v>
      </x:c>
      <x:c r="V307" s="16" t="n">
        <x:v>17.5</x:v>
      </x:c>
      <x:c r="W307" t="str">
        <x:v>South-East</x:v>
      </x:c>
      <x:c r="X307" t="n">
        <x:v>1</x:v>
      </x:c>
      <x:c r="Y307" s="16" t="n">
        <x:v>9.8</x:v>
      </x:c>
      <x:c r="Z307" s="1" t="b">
        <x:v>1</x:v>
      </x:c>
      <x:c r="AA307" t="str">
        <x:v>South-East, West</x:v>
      </x:c>
      <x:c r="AB307" s="16" t="n">
        <x:v>0</x:v>
      </x:c>
      <x:c r="AC307" s="16" t="n">
        <x:v>0</x:v>
      </x:c>
      <x:c r="AD307" s="1" t="b">
        <x:v>0</x:v>
      </x:c>
    </x:row>
    <x:row r="308">
      <x:c r="A308" t="str">
        <x:v>SYN-0307</x:v>
      </x:c>
      <x:c r="B308" s="12" t="n">
        <x:v>46205</x:v>
      </x:c>
      <x:c r="C308" t="str">
        <x:v>Synthetic New-Project Listing</x:v>
      </x:c>
      <x:c r="D308" t="str">
        <x:v>https://example.com/listings/SYN-0307</x:v>
      </x:c>
      <x:c r="E308" t="str">
        <x:v>New Project</x:v>
      </x:c>
      <x:c r="F308" t="str">
        <x:v>Helsinki Gardens</x:v>
      </x:c>
      <x:c r="G308" t="str">
        <x:v>Sample Development C</x:v>
      </x:c>
      <x:c r="H308" t="str">
        <x:v>Weizmann 84, Tel Aviv</x:v>
      </x:c>
      <x:c r="I308" t="str">
        <x:v>Tel Aviv</x:v>
      </x:c>
      <x:c r="J308" t="str">
        <x:v>Kikar HaMedina / New North</x:v>
      </x:c>
      <x:c r="K308" s="14" t="n">
        <x:v>0.24</x:v>
      </x:c>
      <x:c r="L308" t="str">
        <x:v>Duplex</x:v>
      </x:c>
      <x:c r="M308" t="n">
        <x:v>3</x:v>
      </x:c>
      <x:c r="N308" s="16" t="n">
        <x:v>87.8</x:v>
      </x:c>
      <x:c r="O308" t="n">
        <x:v>6</x:v>
      </x:c>
      <x:c r="P308" t="n">
        <x:v>12</x:v>
      </x:c>
      <x:c r="Q308" s="18" t="n">
        <x:v>7080000</x:v>
      </x:c>
      <x:c r="R308" s="18" t="n">
        <x:f>IFERROR(Q308/N308,"")</x:f>
        <x:v>80637.8132118451</x:v>
      </x:c>
      <x:c r="S308" t="n">
        <x:v>2025</x:v>
      </x:c>
      <x:c r="T308" t="n">
        <x:v>1</x:v>
      </x:c>
      <x:c r="U308" t="str">
        <x:v>New</x:v>
      </x:c>
      <x:c r="V308" s="16" t="n">
        <x:v>11.8</x:v>
      </x:c>
      <x:c r="W308" t="str">
        <x:v>North-East</x:v>
      </x:c>
      <x:c r="X308" t="n">
        <x:v>1</x:v>
      </x:c>
      <x:c r="Y308" s="16" t="n">
        <x:v>0</x:v>
      </x:c>
      <x:c r="Z308" s="1" t="b">
        <x:v>1</x:v>
      </x:c>
      <x:c r="AA308" t="str">
        <x:v>North-East, North</x:v>
      </x:c>
      <x:c r="AB308" s="16" t="n">
        <x:v>0</x:v>
      </x:c>
      <x:c r="AC308" s="16" t="n">
        <x:v>0</x:v>
      </x:c>
      <x:c r="AD308" s="1" t="b">
        <x:v>0</x:v>
      </x:c>
    </x:row>
    <x:row r="309">
      <x:c r="A309" t="str">
        <x:v>SYN-0308</x:v>
      </x:c>
      <x:c r="B309" s="12" t="n">
        <x:v>46254</x:v>
      </x:c>
      <x:c r="C309" t="str">
        <x:v>Synthetic Yad2-like Listing</x:v>
      </x:c>
      <x:c r="D309" t="str">
        <x:v>https://example.com/listings/SYN-0308</x:v>
      </x:c>
      <x:c r="E309" t="str">
        <x:v>Second Hand</x:v>
      </x:c>
      <x:c r="F309" t="str"/>
      <x:c r="G309" t="str"/>
      <x:c r="H309" t="str">
        <x:v>Epstein 77, Tel Aviv</x:v>
      </x:c>
      <x:c r="I309" t="str">
        <x:v>Tel Aviv</x:v>
      </x:c>
      <x:c r="J309" t="str">
        <x:v>Kikar HaMedina / New North</x:v>
      </x:c>
      <x:c r="K309" s="14" t="n">
        <x:v>0.86</x:v>
      </x:c>
      <x:c r="L309" t="str">
        <x:v>Apartment</x:v>
      </x:c>
      <x:c r="M309" t="n">
        <x:v>4</x:v>
      </x:c>
      <x:c r="N309" s="16" t="n">
        <x:v>107.7</x:v>
      </x:c>
      <x:c r="O309" t="n">
        <x:v>6</x:v>
      </x:c>
      <x:c r="P309" t="n">
        <x:v>16</x:v>
      </x:c>
      <x:c r="Q309" s="18" t="n">
        <x:v>8280000</x:v>
      </x:c>
      <x:c r="R309" s="18" t="n">
        <x:f>IFERROR(Q309/N309,"")</x:f>
        <x:v>76880.22284122562</x:v>
      </x:c>
      <x:c r="S309" t="n">
        <x:v>2002</x:v>
      </x:c>
      <x:c r="T309" t="n">
        <x:v>24</x:v>
      </x:c>
      <x:c r="U309" t="str">
        <x:v>Renovated</x:v>
      </x:c>
      <x:c r="V309" s="16" t="n">
        <x:v>20.9</x:v>
      </x:c>
      <x:c r="W309" t="str">
        <x:v>South</x:v>
      </x:c>
      <x:c r="X309" t="n">
        <x:v>1</x:v>
      </x:c>
      <x:c r="Y309" s="16" t="n">
        <x:v>6.5</x:v>
      </x:c>
      <x:c r="Z309" s="1" t="b">
        <x:v>1</x:v>
      </x:c>
      <x:c r="AA309" t="str">
        <x:v>South, West</x:v>
      </x:c>
      <x:c r="AB309" s="16" t="n">
        <x:v>0</x:v>
      </x:c>
      <x:c r="AC309" s="16" t="n">
        <x:v>0</x:v>
      </x:c>
      <x:c r="AD309" s="1" t="b">
        <x:v>0</x:v>
      </x:c>
    </x:row>
    <x:row r="310">
      <x:c r="A310" t="str">
        <x:v>SYN-0309</x:v>
      </x:c>
      <x:c r="B310" s="12" t="n">
        <x:v>46216</x:v>
      </x:c>
      <x:c r="C310" t="str">
        <x:v>Synthetic New-Project Listing</x:v>
      </x:c>
      <x:c r="D310" t="str">
        <x:v>https://example.com/listings/SYN-0309</x:v>
      </x:c>
      <x:c r="E310" t="str">
        <x:v>New Project</x:v>
      </x:c>
      <x:c r="F310" t="str">
        <x:v>Medina Boutique</x:v>
      </x:c>
      <x:c r="G310" t="str">
        <x:v>Sample Development E</x:v>
      </x:c>
      <x:c r="H310" t="str">
        <x:v>Lissin 20, Tel Aviv</x:v>
      </x:c>
      <x:c r="I310" t="str">
        <x:v>Tel Aviv</x:v>
      </x:c>
      <x:c r="J310" t="str">
        <x:v>Kikar HaMedina / New North</x:v>
      </x:c>
      <x:c r="K310" s="14" t="n">
        <x:v>0.58</x:v>
      </x:c>
      <x:c r="L310" t="str">
        <x:v>Apartment</x:v>
      </x:c>
      <x:c r="M310" t="n">
        <x:v>5</x:v>
      </x:c>
      <x:c r="N310" s="16" t="n">
        <x:v>117.6</x:v>
      </x:c>
      <x:c r="O310" t="n">
        <x:v>4</x:v>
      </x:c>
      <x:c r="P310" t="n">
        <x:v>5</x:v>
      </x:c>
      <x:c r="Q310" s="18" t="n">
        <x:v>9670000</x:v>
      </x:c>
      <x:c r="R310" s="18" t="n">
        <x:f>IFERROR(Q310/N310,"")</x:f>
        <x:v>82227.89115646259</x:v>
      </x:c>
      <x:c r="S310" t="n">
        <x:v>2027</x:v>
      </x:c>
      <x:c r="T310" t="n">
        <x:v>0</x:v>
      </x:c>
      <x:c r="U310" t="str">
        <x:v>New</x:v>
      </x:c>
      <x:c r="V310" s="16" t="n">
        <x:v>27.3</x:v>
      </x:c>
      <x:c r="W310" t="str">
        <x:v>South</x:v>
      </x:c>
      <x:c r="X310" t="n">
        <x:v>1</x:v>
      </x:c>
      <x:c r="Y310" s="16" t="n">
        <x:v>4.9</x:v>
      </x:c>
      <x:c r="Z310" s="1" t="b">
        <x:v>1</x:v>
      </x:c>
      <x:c r="AA310" t="str">
        <x:v>South, South</x:v>
      </x:c>
      <x:c r="AB310" s="16" t="n">
        <x:v>0</x:v>
      </x:c>
      <x:c r="AC310" s="16" t="n">
        <x:v>0</x:v>
      </x:c>
      <x:c r="AD310" s="1" t="b">
        <x:v>1</x:v>
      </x:c>
    </x:row>
    <x:row r="311">
      <x:c r="A311" t="str">
        <x:v>SYN-0310</x:v>
      </x:c>
      <x:c r="B311" s="12" t="n">
        <x:v>46207</x:v>
      </x:c>
      <x:c r="C311" t="str">
        <x:v>Synthetic Yad2-like Listing</x:v>
      </x:c>
      <x:c r="D311" t="str">
        <x:v>https://example.com/listings/SYN-0310</x:v>
      </x:c>
      <x:c r="E311" t="str">
        <x:v>Second Hand</x:v>
      </x:c>
      <x:c r="F311" t="str"/>
      <x:c r="G311" t="str"/>
      <x:c r="H311" t="str">
        <x:v>Klay 158, Tel Aviv</x:v>
      </x:c>
      <x:c r="I311" t="str">
        <x:v>Tel Aviv</x:v>
      </x:c>
      <x:c r="J311" t="str">
        <x:v>Kikar HaMedina / New North</x:v>
      </x:c>
      <x:c r="K311" s="14" t="n">
        <x:v>0.63</x:v>
      </x:c>
      <x:c r="L311" t="str">
        <x:v>Apartment</x:v>
      </x:c>
      <x:c r="M311" t="n">
        <x:v>3</x:v>
      </x:c>
      <x:c r="N311" s="16" t="n">
        <x:v>76.9</x:v>
      </x:c>
      <x:c r="O311" t="n">
        <x:v>10</x:v>
      </x:c>
      <x:c r="P311" t="n">
        <x:v>13</x:v>
      </x:c>
      <x:c r="Q311" s="18" t="n">
        <x:v>6130000</x:v>
      </x:c>
      <x:c r="R311" s="18" t="n">
        <x:f>IFERROR(Q311/N311,"")</x:f>
        <x:v>79713.91417425228</x:v>
      </x:c>
      <x:c r="S311" t="n">
        <x:v>1989</x:v>
      </x:c>
      <x:c r="T311" t="n">
        <x:v>37</x:v>
      </x:c>
      <x:c r="U311" t="str">
        <x:v>Renovated</x:v>
      </x:c>
      <x:c r="V311" s="16" t="n">
        <x:v>16.3</x:v>
      </x:c>
      <x:c r="W311" t="str">
        <x:v>East</x:v>
      </x:c>
      <x:c r="X311" t="n">
        <x:v>1</x:v>
      </x:c>
      <x:c r="Y311" s="16" t="n">
        <x:v>9.7</x:v>
      </x:c>
      <x:c r="Z311" s="1" t="b">
        <x:v>1</x:v>
      </x:c>
      <x:c r="AA311" t="str">
        <x:v>East, West</x:v>
      </x:c>
      <x:c r="AB311" s="16" t="n">
        <x:v>0</x:v>
      </x:c>
      <x:c r="AC311" s="16" t="n">
        <x:v>0</x:v>
      </x:c>
      <x:c r="AD311" s="1" t="b">
        <x:v>0</x:v>
      </x:c>
    </x:row>
    <x:row r="312">
      <x:c r="A312" t="str">
        <x:v>SYN-0311</x:v>
      </x:c>
      <x:c r="B312" s="12" t="n">
        <x:v>46255</x:v>
      </x:c>
      <x:c r="C312" t="str">
        <x:v>Synthetic Yad2-like Listing</x:v>
      </x:c>
      <x:c r="D312" t="str">
        <x:v>https://example.com/listings/SYN-0311</x:v>
      </x:c>
      <x:c r="E312" t="str">
        <x:v>Second Hand</x:v>
      </x:c>
      <x:c r="F312" t="str"/>
      <x:c r="G312" t="str"/>
      <x:c r="H312" t="str">
        <x:v>Bavli 154, Tel Aviv</x:v>
      </x:c>
      <x:c r="I312" t="str">
        <x:v>Tel Aviv</x:v>
      </x:c>
      <x:c r="J312" t="str">
        <x:v>Kikar HaMedina / New North</x:v>
      </x:c>
      <x:c r="K312" s="14" t="n">
        <x:v>0.71</x:v>
      </x:c>
      <x:c r="L312" t="str">
        <x:v>Apartment</x:v>
      </x:c>
      <x:c r="M312" t="n">
        <x:v>3</x:v>
      </x:c>
      <x:c r="N312" s="16" t="n">
        <x:v>68.4</x:v>
      </x:c>
      <x:c r="O312" t="n">
        <x:v>2</x:v>
      </x:c>
      <x:c r="P312" t="n">
        <x:v>15</x:v>
      </x:c>
      <x:c r="Q312" s="18" t="n">
        <x:v>4550000</x:v>
      </x:c>
      <x:c r="R312" s="18" t="n">
        <x:f>IFERROR(Q312/N312,"")</x:f>
        <x:v>66520.4678362573</x:v>
      </x:c>
      <x:c r="S312" t="n">
        <x:v>2014</x:v>
      </x:c>
      <x:c r="T312" t="n">
        <x:v>12</x:v>
      </x:c>
      <x:c r="U312" t="str">
        <x:v>Good</x:v>
      </x:c>
      <x:c r="V312" s="16" t="n">
        <x:v>15</x:v>
      </x:c>
      <x:c r="W312" t="str">
        <x:v>North-West</x:v>
      </x:c>
      <x:c r="X312" t="n">
        <x:v>0</x:v>
      </x:c>
      <x:c r="Y312" s="16" t="n">
        <x:v>0</x:v>
      </x:c>
      <x:c r="Z312" s="1" t="b">
        <x:v>1</x:v>
      </x:c>
      <x:c r="AA312" t="str">
        <x:v>North-West, West</x:v>
      </x:c>
      <x:c r="AB312" s="16" t="n">
        <x:v>0</x:v>
      </x:c>
      <x:c r="AC312" s="16" t="n">
        <x:v>0</x:v>
      </x:c>
      <x:c r="AD312" s="1" t="b">
        <x:v>0</x:v>
      </x:c>
    </x:row>
    <x:row r="313">
      <x:c r="A313" t="str">
        <x:v>SYN-0312</x:v>
      </x:c>
      <x:c r="B313" s="12" t="n">
        <x:v>46223</x:v>
      </x:c>
      <x:c r="C313" t="str">
        <x:v>Synthetic Yad2-like Listing</x:v>
      </x:c>
      <x:c r="D313" t="str">
        <x:v>https://example.com/listings/SYN-0312</x:v>
      </x:c>
      <x:c r="E313" t="str">
        <x:v>Second Hand</x:v>
      </x:c>
      <x:c r="F313" t="str"/>
      <x:c r="G313" t="str"/>
      <x:c r="H313" t="str">
        <x:v>Helsinki 125, Tel Aviv</x:v>
      </x:c>
      <x:c r="I313" t="str">
        <x:v>Tel Aviv</x:v>
      </x:c>
      <x:c r="J313" t="str">
        <x:v>Kikar HaMedina / New North</x:v>
      </x:c>
      <x:c r="K313" s="14" t="n">
        <x:v>0.05</x:v>
      </x:c>
      <x:c r="L313" t="str">
        <x:v>Apartment</x:v>
      </x:c>
      <x:c r="M313" t="n">
        <x:v>4</x:v>
      </x:c>
      <x:c r="N313" s="16" t="n">
        <x:v>99.2</x:v>
      </x:c>
      <x:c r="O313" t="n">
        <x:v>6</x:v>
      </x:c>
      <x:c r="P313" t="n">
        <x:v>13</x:v>
      </x:c>
      <x:c r="Q313" s="18" t="n">
        <x:v>7080000</x:v>
      </x:c>
      <x:c r="R313" s="18" t="n">
        <x:f>IFERROR(Q313/N313,"")</x:f>
        <x:v>71370.96774193548</x:v>
      </x:c>
      <x:c r="S313" t="n">
        <x:v>1995</x:v>
      </x:c>
      <x:c r="T313" t="n">
        <x:v>31</x:v>
      </x:c>
      <x:c r="U313" t="str">
        <x:v>Renovated</x:v>
      </x:c>
      <x:c r="V313" s="16" t="n">
        <x:v>10.5</x:v>
      </x:c>
      <x:c r="W313" t="str">
        <x:v>East</x:v>
      </x:c>
      <x:c r="X313" t="n">
        <x:v>1</x:v>
      </x:c>
      <x:c r="Y313" s="16" t="n">
        <x:v>0</x:v>
      </x:c>
      <x:c r="Z313" s="1" t="b">
        <x:v>1</x:v>
      </x:c>
      <x:c r="AA313" t="str">
        <x:v>East, East</x:v>
      </x:c>
      <x:c r="AB313" s="16" t="n">
        <x:v>0</x:v>
      </x:c>
      <x:c r="AC313" s="16" t="n">
        <x:v>0</x:v>
      </x:c>
      <x:c r="AD313" s="1" t="b">
        <x:v>0</x:v>
      </x:c>
    </x:row>
    <x:row r="314">
      <x:c r="A314" t="str">
        <x:v>SYN-0313</x:v>
      </x:c>
      <x:c r="B314" s="12" t="n">
        <x:v>46251</x:v>
      </x:c>
      <x:c r="C314" t="str">
        <x:v>Synthetic Yad2-like Listing</x:v>
      </x:c>
      <x:c r="D314" t="str">
        <x:v>https://example.com/listings/SYN-0313</x:v>
      </x:c>
      <x:c r="E314" t="str">
        <x:v>Second Hand</x:v>
      </x:c>
      <x:c r="F314" t="str"/>
      <x:c r="G314" t="str"/>
      <x:c r="H314" t="str">
        <x:v>Klay 61, Tel Aviv</x:v>
      </x:c>
      <x:c r="I314" t="str">
        <x:v>Tel Aviv</x:v>
      </x:c>
      <x:c r="J314" t="str">
        <x:v>Kikar HaMedina / New North</x:v>
      </x:c>
      <x:c r="K314" s="14" t="n">
        <x:v>0.6</x:v>
      </x:c>
      <x:c r="L314" t="str">
        <x:v>Apartment</x:v>
      </x:c>
      <x:c r="M314" t="n">
        <x:v>5</x:v>
      </x:c>
      <x:c r="N314" s="16" t="n">
        <x:v>122.6</x:v>
      </x:c>
      <x:c r="O314" t="n">
        <x:v>5</x:v>
      </x:c>
      <x:c r="P314" t="n">
        <x:v>16</x:v>
      </x:c>
      <x:c r="Q314" s="18" t="n">
        <x:v>9080000</x:v>
      </x:c>
      <x:c r="R314" s="18" t="n">
        <x:f>IFERROR(Q314/N314,"")</x:f>
        <x:v>74061.99021207179</x:v>
      </x:c>
      <x:c r="S314" t="n">
        <x:v>2002</x:v>
      </x:c>
      <x:c r="T314" t="n">
        <x:v>24</x:v>
      </x:c>
      <x:c r="U314" t="str">
        <x:v>Good</x:v>
      </x:c>
      <x:c r="V314" s="16" t="n">
        <x:v>30.6</x:v>
      </x:c>
      <x:c r="W314" t="str">
        <x:v>East</x:v>
      </x:c>
      <x:c r="X314" t="n">
        <x:v>1</x:v>
      </x:c>
      <x:c r="Y314" s="16" t="n">
        <x:v>0</x:v>
      </x:c>
      <x:c r="Z314" s="1" t="b">
        <x:v>1</x:v>
      </x:c>
      <x:c r="AA314" t="str">
        <x:v>East</x:v>
      </x:c>
      <x:c r="AB314" s="16" t="n">
        <x:v>0</x:v>
      </x:c>
      <x:c r="AC314" s="16" t="n">
        <x:v>0</x:v>
      </x:c>
      <x:c r="AD314" s="1" t="b">
        <x:v>0</x:v>
      </x:c>
    </x:row>
    <x:row r="315">
      <x:c r="A315" t="str">
        <x:v>SYN-0314</x:v>
      </x:c>
      <x:c r="B315" s="12" t="n">
        <x:v>46221</x:v>
      </x:c>
      <x:c r="C315" t="str">
        <x:v>Synthetic New-Project Listing</x:v>
      </x:c>
      <x:c r="D315" t="str">
        <x:v>https://example.com/listings/SYN-0314</x:v>
      </x:c>
      <x:c r="E315" t="str">
        <x:v>New Project</x:v>
      </x:c>
      <x:c r="F315" t="str">
        <x:v>North TLV Living</x:v>
      </x:c>
      <x:c r="G315" t="str">
        <x:v>Sample Development D</x:v>
      </x:c>
      <x:c r="H315" t="str">
        <x:v>Klay 96, Tel Aviv</x:v>
      </x:c>
      <x:c r="I315" t="str">
        <x:v>Tel Aviv</x:v>
      </x:c>
      <x:c r="J315" t="str">
        <x:v>Kikar HaMedina / New North</x:v>
      </x:c>
      <x:c r="K315" s="14" t="n">
        <x:v>0.77</x:v>
      </x:c>
      <x:c r="L315" t="str">
        <x:v>Apartment</x:v>
      </x:c>
      <x:c r="M315" t="n">
        <x:v>4</x:v>
      </x:c>
      <x:c r="N315" s="16" t="n">
        <x:v>92.7</x:v>
      </x:c>
      <x:c r="O315" t="n">
        <x:v>6</x:v>
      </x:c>
      <x:c r="P315" t="n">
        <x:v>10</x:v>
      </x:c>
      <x:c r="Q315" s="18" t="n">
        <x:v>7490000</x:v>
      </x:c>
      <x:c r="R315" s="18" t="n">
        <x:f>IFERROR(Q315/N315,"")</x:f>
        <x:v>80798.2740021575</x:v>
      </x:c>
      <x:c r="S315" t="n">
        <x:v>2025</x:v>
      </x:c>
      <x:c r="T315" t="n">
        <x:v>1</x:v>
      </x:c>
      <x:c r="U315" t="str">
        <x:v>New</x:v>
      </x:c>
      <x:c r="V315" s="16" t="n">
        <x:v>23.5</x:v>
      </x:c>
      <x:c r="W315" t="str">
        <x:v>South-West</x:v>
      </x:c>
      <x:c r="X315" t="n">
        <x:v>1</x:v>
      </x:c>
      <x:c r="Y315" s="16" t="n">
        <x:v>0</x:v>
      </x:c>
      <x:c r="Z315" s="1" t="b">
        <x:v>1</x:v>
      </x:c>
      <x:c r="AA315" t="str">
        <x:v>South-West, North</x:v>
      </x:c>
      <x:c r="AB315" s="16" t="n">
        <x:v>0</x:v>
      </x:c>
      <x:c r="AC315" s="16" t="n">
        <x:v>0</x:v>
      </x:c>
      <x:c r="AD315" s="1" t="b">
        <x:v>0</x:v>
      </x:c>
    </x:row>
    <x:row r="316">
      <x:c r="A316" t="str">
        <x:v>SYN-0315</x:v>
      </x:c>
      <x:c r="B316" s="12" t="n">
        <x:v>46232</x:v>
      </x:c>
      <x:c r="C316" t="str">
        <x:v>Synthetic Yad2-like Listing</x:v>
      </x:c>
      <x:c r="D316" t="str">
        <x:v>https://example.com/listings/SYN-0315</x:v>
      </x:c>
      <x:c r="E316" t="str">
        <x:v>Second Hand</x:v>
      </x:c>
      <x:c r="F316" t="str"/>
      <x:c r="G316" t="str"/>
      <x:c r="H316" t="str">
        <x:v>Bavli 180, Tel Aviv</x:v>
      </x:c>
      <x:c r="I316" t="str">
        <x:v>Tel Aviv</x:v>
      </x:c>
      <x:c r="J316" t="str">
        <x:v>Kikar HaMedina / New North</x:v>
      </x:c>
      <x:c r="K316" s="14" t="n">
        <x:v>0.68</x:v>
      </x:c>
      <x:c r="L316" t="str">
        <x:v>Apartment</x:v>
      </x:c>
      <x:c r="M316" t="n">
        <x:v>5</x:v>
      </x:c>
      <x:c r="N316" s="16" t="n">
        <x:v>121.4</x:v>
      </x:c>
      <x:c r="O316" t="n">
        <x:v>11</x:v>
      </x:c>
      <x:c r="P316" t="n">
        <x:v>14</x:v>
      </x:c>
      <x:c r="Q316" s="18" t="n">
        <x:v>8770000</x:v>
      </x:c>
      <x:c r="R316" s="18" t="n">
        <x:f>IFERROR(Q316/N316,"")</x:f>
        <x:v>72240.52718286656</x:v>
      </x:c>
      <x:c r="S316" t="n">
        <x:v>2010</x:v>
      </x:c>
      <x:c r="T316" t="n">
        <x:v>16</x:v>
      </x:c>
      <x:c r="U316" t="str">
        <x:v>Good</x:v>
      </x:c>
      <x:c r="V316" s="16" t="n">
        <x:v>31.2</x:v>
      </x:c>
      <x:c r="W316" t="str">
        <x:v>North</x:v>
      </x:c>
      <x:c r="X316" t="n">
        <x:v>0</x:v>
      </x:c>
      <x:c r="Y316" s="16" t="n">
        <x:v>0</x:v>
      </x:c>
      <x:c r="Z316" s="1" t="b">
        <x:v>1</x:v>
      </x:c>
      <x:c r="AA316" t="str">
        <x:v>North, North</x:v>
      </x:c>
      <x:c r="AB316" s="16" t="n">
        <x:v>0</x:v>
      </x:c>
      <x:c r="AC316" s="16" t="n">
        <x:v>0</x:v>
      </x:c>
      <x:c r="AD316" s="1" t="b">
        <x:v>0</x:v>
      </x:c>
    </x:row>
    <x:row r="317">
      <x:c r="A317" t="str">
        <x:v>SYN-0316</x:v>
      </x:c>
      <x:c r="B317" s="12" t="n">
        <x:v>46225</x:v>
      </x:c>
      <x:c r="C317" t="str">
        <x:v>Synthetic New-Project Listing</x:v>
      </x:c>
      <x:c r="D317" t="str">
        <x:v>https://example.com/listings/SYN-0316</x:v>
      </x:c>
      <x:c r="E317" t="str">
        <x:v>New Project</x:v>
      </x:c>
      <x:c r="F317" t="str">
        <x:v>North TLV Living</x:v>
      </x:c>
      <x:c r="G317" t="str">
        <x:v>Sample Development D</x:v>
      </x:c>
      <x:c r="H317" t="str">
        <x:v>Helsinki 71, Tel Aviv</x:v>
      </x:c>
      <x:c r="I317" t="str">
        <x:v>Tel Aviv</x:v>
      </x:c>
      <x:c r="J317" t="str">
        <x:v>Kikar HaMedina / New North</x:v>
      </x:c>
      <x:c r="K317" s="14" t="n">
        <x:v>0.08</x:v>
      </x:c>
      <x:c r="L317" t="str">
        <x:v>Apartment</x:v>
      </x:c>
      <x:c r="M317" t="n">
        <x:v>5</x:v>
      </x:c>
      <x:c r="N317" s="16" t="n">
        <x:v>122.2</x:v>
      </x:c>
      <x:c r="O317" t="n">
        <x:v>4</x:v>
      </x:c>
      <x:c r="P317" t="n">
        <x:v>9</x:v>
      </x:c>
      <x:c r="Q317" s="18" t="n">
        <x:v>10250000</x:v>
      </x:c>
      <x:c r="R317" s="18" t="n">
        <x:f>IFERROR(Q317/N317,"")</x:f>
        <x:v>83878.88707037643</x:v>
      </x:c>
      <x:c r="S317" t="n">
        <x:v>2027</x:v>
      </x:c>
      <x:c r="T317" t="n">
        <x:v>0</x:v>
      </x:c>
      <x:c r="U317" t="str">
        <x:v>New</x:v>
      </x:c>
      <x:c r="V317" s="16" t="n">
        <x:v>13.7</x:v>
      </x:c>
      <x:c r="W317" t="str">
        <x:v>West</x:v>
      </x:c>
      <x:c r="X317" t="n">
        <x:v>2</x:v>
      </x:c>
      <x:c r="Y317" s="16" t="n">
        <x:v>5.2</x:v>
      </x:c>
      <x:c r="Z317" s="1" t="b">
        <x:v>1</x:v>
      </x:c>
      <x:c r="AA317" t="str">
        <x:v>West, South</x:v>
      </x:c>
      <x:c r="AB317" s="16" t="n">
        <x:v>0</x:v>
      </x:c>
      <x:c r="AC317" s="16" t="n">
        <x:v>0</x:v>
      </x:c>
      <x:c r="AD317" s="1" t="b">
        <x:v>0</x:v>
      </x:c>
    </x:row>
    <x:row r="318">
      <x:c r="A318" t="str">
        <x:v>SYN-0317</x:v>
      </x:c>
      <x:c r="B318" s="12" t="n">
        <x:v>46253</x:v>
      </x:c>
      <x:c r="C318" t="str">
        <x:v>Synthetic Yad2-like Listing</x:v>
      </x:c>
      <x:c r="D318" t="str">
        <x:v>https://example.com/listings/SYN-0317</x:v>
      </x:c>
      <x:c r="E318" t="str">
        <x:v>Second Hand</x:v>
      </x:c>
      <x:c r="F318" t="str"/>
      <x:c r="G318" t="str"/>
      <x:c r="H318" t="str">
        <x:v>Helsinki 81, Tel Aviv</x:v>
      </x:c>
      <x:c r="I318" t="str">
        <x:v>Tel Aviv</x:v>
      </x:c>
      <x:c r="J318" t="str">
        <x:v>Kikar HaMedina / New North</x:v>
      </x:c>
      <x:c r="K318" s="14" t="n">
        <x:v>0.05</x:v>
      </x:c>
      <x:c r="L318" t="str">
        <x:v>Apartment</x:v>
      </x:c>
      <x:c r="M318" t="n">
        <x:v>5</x:v>
      </x:c>
      <x:c r="N318" s="16" t="n">
        <x:v>133.3</x:v>
      </x:c>
      <x:c r="O318" t="n">
        <x:v>2</x:v>
      </x:c>
      <x:c r="P318" t="n">
        <x:v>15</x:v>
      </x:c>
      <x:c r="Q318" s="18" t="n">
        <x:v>9750000</x:v>
      </x:c>
      <x:c r="R318" s="18" t="n">
        <x:f>IFERROR(Q318/N318,"")</x:f>
        <x:v>73143.28582145536</x:v>
      </x:c>
      <x:c r="S318" t="n">
        <x:v>2010</x:v>
      </x:c>
      <x:c r="T318" t="n">
        <x:v>16</x:v>
      </x:c>
      <x:c r="U318" t="str">
        <x:v>Good</x:v>
      </x:c>
      <x:c r="V318" s="16" t="n">
        <x:v>18.1</x:v>
      </x:c>
      <x:c r="W318" t="str">
        <x:v>North-West</x:v>
      </x:c>
      <x:c r="X318" t="n">
        <x:v>2</x:v>
      </x:c>
      <x:c r="Y318" s="16" t="n">
        <x:v>7.5</x:v>
      </x:c>
      <x:c r="Z318" s="1" t="b">
        <x:v>1</x:v>
      </x:c>
      <x:c r="AA318" t="str">
        <x:v>North-West</x:v>
      </x:c>
      <x:c r="AB318" s="16" t="n">
        <x:v>0</x:v>
      </x:c>
      <x:c r="AC318" s="16" t="n">
        <x:v>0</x:v>
      </x:c>
      <x:c r="AD318" s="1" t="b">
        <x:v>0</x:v>
      </x:c>
    </x:row>
    <x:row r="319">
      <x:c r="A319" t="str">
        <x:v>SYN-0318</x:v>
      </x:c>
      <x:c r="B319" s="12" t="n">
        <x:v>46240</x:v>
      </x:c>
      <x:c r="C319" t="str">
        <x:v>Synthetic Yad2-like Listing</x:v>
      </x:c>
      <x:c r="D319" t="str">
        <x:v>https://example.com/listings/SYN-0318</x:v>
      </x:c>
      <x:c r="E319" t="str">
        <x:v>Second Hand</x:v>
      </x:c>
      <x:c r="F319" t="str"/>
      <x:c r="G319" t="str"/>
      <x:c r="H319" t="str">
        <x:v>Weizmann 107, Tel Aviv</x:v>
      </x:c>
      <x:c r="I319" t="str">
        <x:v>Tel Aviv</x:v>
      </x:c>
      <x:c r="J319" t="str">
        <x:v>Kikar HaMedina / New North</x:v>
      </x:c>
      <x:c r="K319" s="14" t="n">
        <x:v>0.32</x:v>
      </x:c>
      <x:c r="L319" t="str">
        <x:v>Apartment</x:v>
      </x:c>
      <x:c r="M319" t="n">
        <x:v>4</x:v>
      </x:c>
      <x:c r="N319" s="16" t="n">
        <x:v>104.9</x:v>
      </x:c>
      <x:c r="O319" t="n">
        <x:v>10</x:v>
      </x:c>
      <x:c r="P319" t="n">
        <x:v>17</x:v>
      </x:c>
      <x:c r="Q319" s="18" t="n">
        <x:v>8070000</x:v>
      </x:c>
      <x:c r="R319" s="18" t="n">
        <x:f>IFERROR(Q319/N319,"")</x:f>
        <x:v>76930.409914204</x:v>
      </x:c>
      <x:c r="S319" t="n">
        <x:v>2011</x:v>
      </x:c>
      <x:c r="T319" t="n">
        <x:v>15</x:v>
      </x:c>
      <x:c r="U319" t="str">
        <x:v>Renovated</x:v>
      </x:c>
      <x:c r="V319" s="16" t="n">
        <x:v>15.7</x:v>
      </x:c>
      <x:c r="W319" t="str">
        <x:v>East</x:v>
      </x:c>
      <x:c r="X319" t="n">
        <x:v>1</x:v>
      </x:c>
      <x:c r="Y319" s="16" t="n">
        <x:v>0</x:v>
      </x:c>
      <x:c r="Z319" s="1" t="b">
        <x:v>1</x:v>
      </x:c>
      <x:c r="AA319" t="str">
        <x:v>East, South</x:v>
      </x:c>
      <x:c r="AB319" s="16" t="n">
        <x:v>0</x:v>
      </x:c>
      <x:c r="AC319" s="16" t="n">
        <x:v>0</x:v>
      </x:c>
      <x:c r="AD319" s="1" t="b">
        <x:v>0</x:v>
      </x:c>
    </x:row>
    <x:row r="320">
      <x:c r="A320" t="str">
        <x:v>SYN-0319</x:v>
      </x:c>
      <x:c r="B320" s="12" t="n">
        <x:v>46233</x:v>
      </x:c>
      <x:c r="C320" t="str">
        <x:v>Synthetic New-Project Listing</x:v>
      </x:c>
      <x:c r="D320" t="str">
        <x:v>https://example.com/listings/SYN-0319</x:v>
      </x:c>
      <x:c r="E320" t="str">
        <x:v>New Project</x:v>
      </x:c>
      <x:c r="F320" t="str">
        <x:v>Medina Boutique</x:v>
      </x:c>
      <x:c r="G320" t="str">
        <x:v>Sample Development E</x:v>
      </x:c>
      <x:c r="H320" t="str">
        <x:v>Bavli 44, Tel Aviv</x:v>
      </x:c>
      <x:c r="I320" t="str">
        <x:v>Tel Aviv</x:v>
      </x:c>
      <x:c r="J320" t="str">
        <x:v>Kikar HaMedina / New North</x:v>
      </x:c>
      <x:c r="K320" s="14" t="n">
        <x:v>0.87</x:v>
      </x:c>
      <x:c r="L320" t="str">
        <x:v>Apartment</x:v>
      </x:c>
      <x:c r="M320" t="n">
        <x:v>5</x:v>
      </x:c>
      <x:c r="N320" s="16" t="n">
        <x:v>136</x:v>
      </x:c>
      <x:c r="O320" t="n">
        <x:v>10</x:v>
      </x:c>
      <x:c r="P320" t="n">
        <x:v>14</x:v>
      </x:c>
      <x:c r="Q320" s="18" t="n">
        <x:v>10940000</x:v>
      </x:c>
      <x:c r="R320" s="18" t="n">
        <x:f>IFERROR(Q320/N320,"")</x:f>
        <x:v>80441.17647058824</x:v>
      </x:c>
      <x:c r="S320" t="n">
        <x:v>2026</x:v>
      </x:c>
      <x:c r="T320" t="n">
        <x:v>0</x:v>
      </x:c>
      <x:c r="U320" t="str">
        <x:v>New</x:v>
      </x:c>
      <x:c r="V320" s="16" t="n">
        <x:v>0</x:v>
      </x:c>
      <x:c r="W320" t="str"/>
      <x:c r="X320" t="n">
        <x:v>1</x:v>
      </x:c>
      <x:c r="Y320" s="16" t="n">
        <x:v>5.8</x:v>
      </x:c>
      <x:c r="Z320" s="1" t="b">
        <x:v>1</x:v>
      </x:c>
      <x:c r="AA320" t="str">
        <x:v>South-East</x:v>
      </x:c>
      <x:c r="AB320" s="16" t="n">
        <x:v>0</x:v>
      </x:c>
      <x:c r="AC320" s="16" t="n">
        <x:v>0</x:v>
      </x:c>
      <x:c r="AD320" s="1" t="b">
        <x:v>0</x:v>
      </x:c>
    </x:row>
    <x:row r="321">
      <x:c r="A321" t="str">
        <x:v>SYN-0320</x:v>
      </x:c>
      <x:c r="B321" s="12" t="n">
        <x:v>46230</x:v>
      </x:c>
      <x:c r="C321" t="str">
        <x:v>Synthetic Yad2-like Listing</x:v>
      </x:c>
      <x:c r="D321" t="str">
        <x:v>https://example.com/listings/SYN-0320</x:v>
      </x:c>
      <x:c r="E321" t="str">
        <x:v>Second Hand</x:v>
      </x:c>
      <x:c r="F321" t="str"/>
      <x:c r="G321" t="str"/>
      <x:c r="H321" t="str">
        <x:v>Epstein 56, Tel Aviv</x:v>
      </x:c>
      <x:c r="I321" t="str">
        <x:v>Tel Aviv</x:v>
      </x:c>
      <x:c r="J321" t="str">
        <x:v>Kikar HaMedina / New North</x:v>
      </x:c>
      <x:c r="K321" s="14" t="n">
        <x:v>0.99</x:v>
      </x:c>
      <x:c r="L321" t="str">
        <x:v>Apartment</x:v>
      </x:c>
      <x:c r="M321" t="n">
        <x:v>4</x:v>
      </x:c>
      <x:c r="N321" s="16" t="n">
        <x:v>92.5</x:v>
      </x:c>
      <x:c r="O321" t="n">
        <x:v>3</x:v>
      </x:c>
      <x:c r="P321" t="n">
        <x:v>7</x:v>
      </x:c>
      <x:c r="Q321" s="18" t="n">
        <x:v>5510000</x:v>
      </x:c>
      <x:c r="R321" s="18" t="n">
        <x:f>IFERROR(Q321/N321,"")</x:f>
        <x:v>59567.56756756757</x:v>
      </x:c>
      <x:c r="S321" t="n">
        <x:v>1987</x:v>
      </x:c>
      <x:c r="T321" t="n">
        <x:v>39</x:v>
      </x:c>
      <x:c r="U321" t="str">
        <x:v>Needs Renovation</x:v>
      </x:c>
      <x:c r="V321" s="16" t="n">
        <x:v>0</x:v>
      </x:c>
      <x:c r="W321" t="str"/>
      <x:c r="X321" t="n">
        <x:v>1</x:v>
      </x:c>
      <x:c r="Y321" s="16" t="n">
        <x:v>0</x:v>
      </x:c>
      <x:c r="Z321" s="1" t="b">
        <x:v>1</x:v>
      </x:c>
      <x:c r="AA321" t="str">
        <x:v>East</x:v>
      </x:c>
      <x:c r="AB321" s="16" t="n">
        <x:v>0</x:v>
      </x:c>
      <x:c r="AC321" s="16" t="n">
        <x:v>0</x:v>
      </x:c>
      <x:c r="AD321" s="1" t="b">
        <x:v>0</x:v>
      </x:c>
    </x:row>
    <x:row r="322">
      <x:c r="A322" t="str">
        <x:v>SYN-0321</x:v>
      </x:c>
      <x:c r="B322" s="12" t="n">
        <x:v>46219</x:v>
      </x:c>
      <x:c r="C322" t="str">
        <x:v>Synthetic Yad2-like Listing</x:v>
      </x:c>
      <x:c r="D322" t="str">
        <x:v>https://example.com/listings/SYN-0321</x:v>
      </x:c>
      <x:c r="E322" t="str">
        <x:v>Second Hand</x:v>
      </x:c>
      <x:c r="F322" t="str"/>
      <x:c r="G322" t="str"/>
      <x:c r="H322" t="str">
        <x:v>Jabotinsky 153, Tel Aviv</x:v>
      </x:c>
      <x:c r="I322" t="str">
        <x:v>Tel Aviv</x:v>
      </x:c>
      <x:c r="J322" t="str">
        <x:v>Kikar HaMedina / New North</x:v>
      </x:c>
      <x:c r="K322" s="14" t="n">
        <x:v>0.52</x:v>
      </x:c>
      <x:c r="L322" t="str">
        <x:v>Apartment</x:v>
      </x:c>
      <x:c r="M322" t="n">
        <x:v>2</x:v>
      </x:c>
      <x:c r="N322" s="16" t="n">
        <x:v>59.7</x:v>
      </x:c>
      <x:c r="O322" t="n">
        <x:v>3</x:v>
      </x:c>
      <x:c r="P322" t="n">
        <x:v>13</x:v>
      </x:c>
      <x:c r="Q322" s="18" t="n">
        <x:v>4480000</x:v>
      </x:c>
      <x:c r="R322" s="18" t="n">
        <x:f>IFERROR(Q322/N322,"")</x:f>
        <x:v>75041.87604690118</x:v>
      </x:c>
      <x:c r="S322" t="n">
        <x:v>2022</x:v>
      </x:c>
      <x:c r="T322" t="n">
        <x:v>4</x:v>
      </x:c>
      <x:c r="U322" t="str">
        <x:v>Good</x:v>
      </x:c>
      <x:c r="V322" s="16" t="n">
        <x:v>17.3</x:v>
      </x:c>
      <x:c r="W322" t="str">
        <x:v>South-West</x:v>
      </x:c>
      <x:c r="X322" t="n">
        <x:v>1</x:v>
      </x:c>
      <x:c r="Y322" s="16" t="n">
        <x:v>0</x:v>
      </x:c>
      <x:c r="Z322" s="1" t="b">
        <x:v>1</x:v>
      </x:c>
      <x:c r="AA322" t="str">
        <x:v>South-West, South</x:v>
      </x:c>
      <x:c r="AB322" s="16" t="n">
        <x:v>0</x:v>
      </x:c>
      <x:c r="AC322" s="16" t="n">
        <x:v>0</x:v>
      </x:c>
      <x:c r="AD322" s="1" t="b">
        <x:v>0</x:v>
      </x:c>
    </x:row>
    <x:row r="323">
      <x:c r="A323" t="str">
        <x:v>SYN-0322</x:v>
      </x:c>
      <x:c r="B323" s="12" t="n">
        <x:v>46237</x:v>
      </x:c>
      <x:c r="C323" t="str">
        <x:v>Synthetic Yad2-like Listing</x:v>
      </x:c>
      <x:c r="D323" t="str">
        <x:v>https://example.com/listings/SYN-0322</x:v>
      </x:c>
      <x:c r="E323" t="str">
        <x:v>Second Hand</x:v>
      </x:c>
      <x:c r="F323" t="str"/>
      <x:c r="G323" t="str"/>
      <x:c r="H323" t="str">
        <x:v>Klay 127, Tel Aviv</x:v>
      </x:c>
      <x:c r="I323" t="str">
        <x:v>Tel Aviv</x:v>
      </x:c>
      <x:c r="J323" t="str">
        <x:v>Kikar HaMedina / New North</x:v>
      </x:c>
      <x:c r="K323" s="14" t="n">
        <x:v>0.48</x:v>
      </x:c>
      <x:c r="L323" t="str">
        <x:v>Penthouse</x:v>
      </x:c>
      <x:c r="M323" t="n">
        <x:v>3</x:v>
      </x:c>
      <x:c r="N323" s="16" t="n">
        <x:v>78.9</x:v>
      </x:c>
      <x:c r="O323" t="n">
        <x:v>10</x:v>
      </x:c>
      <x:c r="P323" t="n">
        <x:v>11</x:v>
      </x:c>
      <x:c r="Q323" s="18" t="n">
        <x:v>7390000</x:v>
      </x:c>
      <x:c r="R323" s="18" t="n">
        <x:f>IFERROR(Q323/N323,"")</x:f>
        <x:v>93662.86438529784</x:v>
      </x:c>
      <x:c r="S323" t="n">
        <x:v>1971</x:v>
      </x:c>
      <x:c r="T323" t="n">
        <x:v>55</x:v>
      </x:c>
      <x:c r="U323" t="str">
        <x:v>Renovated</x:v>
      </x:c>
      <x:c r="V323" s="16" t="n">
        <x:v>59.1</x:v>
      </x:c>
      <x:c r="W323" t="str">
        <x:v>North-West</x:v>
      </x:c>
      <x:c r="X323" t="n">
        <x:v>1</x:v>
      </x:c>
      <x:c r="Y323" s="16" t="n">
        <x:v>0</x:v>
      </x:c>
      <x:c r="Z323" s="1" t="b">
        <x:v>1</x:v>
      </x:c>
      <x:c r="AA323" t="str">
        <x:v>North-West, South</x:v>
      </x:c>
      <x:c r="AB323" s="16" t="n">
        <x:v>0</x:v>
      </x:c>
      <x:c r="AC323" s="16" t="n">
        <x:v>49.2</x:v>
      </x:c>
      <x:c r="AD323" s="1" t="b">
        <x:v>1</x:v>
      </x:c>
    </x:row>
    <x:row r="324">
      <x:c r="A324" t="str">
        <x:v>SYN-0323</x:v>
      </x:c>
      <x:c r="B324" s="12" t="n">
        <x:v>46246</x:v>
      </x:c>
      <x:c r="C324" t="str">
        <x:v>Synthetic Yad2-like Listing</x:v>
      </x:c>
      <x:c r="D324" t="str">
        <x:v>https://example.com/listings/SYN-0323</x:v>
      </x:c>
      <x:c r="E324" t="str">
        <x:v>Second Hand</x:v>
      </x:c>
      <x:c r="F324" t="str"/>
      <x:c r="G324" t="str"/>
      <x:c r="H324" t="str">
        <x:v>Bavli 43, Tel Aviv</x:v>
      </x:c>
      <x:c r="I324" t="str">
        <x:v>Tel Aviv</x:v>
      </x:c>
      <x:c r="J324" t="str">
        <x:v>Kikar HaMedina / New North</x:v>
      </x:c>
      <x:c r="K324" s="14" t="n">
        <x:v>0.66</x:v>
      </x:c>
      <x:c r="L324" t="str">
        <x:v>Apartment</x:v>
      </x:c>
      <x:c r="M324" t="n">
        <x:v>3</x:v>
      </x:c>
      <x:c r="N324" s="16" t="n">
        <x:v>72.2</x:v>
      </x:c>
      <x:c r="O324" t="n">
        <x:v>2</x:v>
      </x:c>
      <x:c r="P324" t="n">
        <x:v>11</x:v>
      </x:c>
      <x:c r="Q324" s="18" t="n">
        <x:v>4780000</x:v>
      </x:c>
      <x:c r="R324" s="18" t="n">
        <x:f>IFERROR(Q324/N324,"")</x:f>
        <x:v>66204.98614958448</x:v>
      </x:c>
      <x:c r="S324" t="n">
        <x:v>2016</x:v>
      </x:c>
      <x:c r="T324" t="n">
        <x:v>10</x:v>
      </x:c>
      <x:c r="U324" t="str">
        <x:v>Renovated</x:v>
      </x:c>
      <x:c r="V324" s="16" t="n">
        <x:v>0</x:v>
      </x:c>
      <x:c r="W324" t="str"/>
      <x:c r="X324" t="n">
        <x:v>0</x:v>
      </x:c>
      <x:c r="Y324" s="16" t="n">
        <x:v>0</x:v>
      </x:c>
      <x:c r="Z324" s="1" t="b">
        <x:v>1</x:v>
      </x:c>
      <x:c r="AA324" t="str">
        <x:v>South-West-East</x:v>
      </x:c>
      <x:c r="AB324" s="16" t="n">
        <x:v>0</x:v>
      </x:c>
      <x:c r="AC324" s="16" t="n">
        <x:v>0</x:v>
      </x:c>
      <x:c r="AD324" s="1" t="b">
        <x:v>0</x:v>
      </x:c>
    </x:row>
    <x:row r="325">
      <x:c r="A325" t="str">
        <x:v>SYN-0324</x:v>
      </x:c>
      <x:c r="B325" s="12" t="n">
        <x:v>46226</x:v>
      </x:c>
      <x:c r="C325" t="str">
        <x:v>Synthetic Yad2-like Listing</x:v>
      </x:c>
      <x:c r="D325" t="str">
        <x:v>https://example.com/listings/SYN-0324</x:v>
      </x:c>
      <x:c r="E325" t="str">
        <x:v>Second Hand</x:v>
      </x:c>
      <x:c r="F325" t="str"/>
      <x:c r="G325" t="str"/>
      <x:c r="H325" t="str">
        <x:v>Klay 125, Tel Aviv</x:v>
      </x:c>
      <x:c r="I325" t="str">
        <x:v>Tel Aviv</x:v>
      </x:c>
      <x:c r="J325" t="str">
        <x:v>Kikar HaMedina / New North</x:v>
      </x:c>
      <x:c r="K325" s="14" t="n">
        <x:v>0.59</x:v>
      </x:c>
      <x:c r="L325" t="str">
        <x:v>Garden Apartment</x:v>
      </x:c>
      <x:c r="M325" t="n">
        <x:v>3</x:v>
      </x:c>
      <x:c r="N325" s="16" t="n">
        <x:v>69.3</x:v>
      </x:c>
      <x:c r="O325" t="n">
        <x:v>0</x:v>
      </x:c>
      <x:c r="P325" t="n">
        <x:v>7</x:v>
      </x:c>
      <x:c r="Q325" s="18" t="n">
        <x:v>5410000</x:v>
      </x:c>
      <x:c r="R325" s="18" t="n">
        <x:f>IFERROR(Q325/N325,"")</x:f>
        <x:v>78066.37806637806</x:v>
      </x:c>
      <x:c r="S325" t="n">
        <x:v>1982</x:v>
      </x:c>
      <x:c r="T325" t="n">
        <x:v>44</x:v>
      </x:c>
      <x:c r="U325" t="str">
        <x:v>Needs Renovation</x:v>
      </x:c>
      <x:c r="V325" s="16" t="n">
        <x:v>65.4</x:v>
      </x:c>
      <x:c r="W325" t="str">
        <x:v>South</x:v>
      </x:c>
      <x:c r="X325" t="n">
        <x:v>0</x:v>
      </x:c>
      <x:c r="Y325" s="16" t="n">
        <x:v>0</x:v>
      </x:c>
      <x:c r="Z325" s="1" t="b">
        <x:v>1</x:v>
      </x:c>
      <x:c r="AA325" t="str">
        <x:v>South, North</x:v>
      </x:c>
      <x:c r="AB325" s="16" t="n">
        <x:v>58.5</x:v>
      </x:c>
      <x:c r="AC325" s="16" t="n">
        <x:v>0</x:v>
      </x:c>
      <x:c r="AD325" s="1" t="b">
        <x:v>0</x:v>
      </x:c>
    </x:row>
    <x:row r="326">
      <x:c r="A326" t="str">
        <x:v>SYN-0325</x:v>
      </x:c>
      <x:c r="B326" s="12" t="n">
        <x:v>46210</x:v>
      </x:c>
      <x:c r="C326" t="str">
        <x:v>Synthetic New-Project Listing</x:v>
      </x:c>
      <x:c r="D326" t="str">
        <x:v>https://example.com/listings/SYN-0325</x:v>
      </x:c>
      <x:c r="E326" t="str">
        <x:v>New Project</x:v>
      </x:c>
      <x:c r="F326" t="str">
        <x:v>Kikar Residence</x:v>
      </x:c>
      <x:c r="G326" t="str">
        <x:v>Sample Development A</x:v>
      </x:c>
      <x:c r="H326" t="str">
        <x:v>Jabotinsky 85, Tel Aviv</x:v>
      </x:c>
      <x:c r="I326" t="str">
        <x:v>Tel Aviv</x:v>
      </x:c>
      <x:c r="J326" t="str">
        <x:v>Kikar HaMedina / New North</x:v>
      </x:c>
      <x:c r="K326" s="14" t="n">
        <x:v>0.56</x:v>
      </x:c>
      <x:c r="L326" t="str">
        <x:v>Apartment</x:v>
      </x:c>
      <x:c r="M326" t="n">
        <x:v>5</x:v>
      </x:c>
      <x:c r="N326" s="16" t="n">
        <x:v>116.7</x:v>
      </x:c>
      <x:c r="O326" t="n">
        <x:v>2</x:v>
      </x:c>
      <x:c r="P326" t="n">
        <x:v>15</x:v>
      </x:c>
      <x:c r="Q326" s="18" t="n">
        <x:v>9360000</x:v>
      </x:c>
      <x:c r="R326" s="18" t="n">
        <x:f>IFERROR(Q326/N326,"")</x:f>
        <x:v>80205.65552699228</x:v>
      </x:c>
      <x:c r="S326" t="n">
        <x:v>2026</x:v>
      </x:c>
      <x:c r="T326" t="n">
        <x:v>0</x:v>
      </x:c>
      <x:c r="U326" t="str">
        <x:v>New</x:v>
      </x:c>
      <x:c r="V326" s="16" t="n">
        <x:v>29.4</x:v>
      </x:c>
      <x:c r="W326" t="str">
        <x:v>West</x:v>
      </x:c>
      <x:c r="X326" t="n">
        <x:v>1</x:v>
      </x:c>
      <x:c r="Y326" s="16" t="n">
        <x:v>7</x:v>
      </x:c>
      <x:c r="Z326" s="1" t="b">
        <x:v>1</x:v>
      </x:c>
      <x:c r="AA326" t="str">
        <x:v>West</x:v>
      </x:c>
      <x:c r="AB326" s="16" t="n">
        <x:v>0</x:v>
      </x:c>
      <x:c r="AC326" s="16" t="n">
        <x:v>0</x:v>
      </x:c>
      <x:c r="AD326" s="1" t="b">
        <x:v>0</x:v>
      </x:c>
    </x:row>
    <x:row r="327">
      <x:c r="A327" t="str">
        <x:v>SYN-0326</x:v>
      </x:c>
      <x:c r="B327" s="12" t="n">
        <x:v>46207</x:v>
      </x:c>
      <x:c r="C327" t="str">
        <x:v>Synthetic Yad2-like Listing</x:v>
      </x:c>
      <x:c r="D327" t="str">
        <x:v>https://example.com/listings/SYN-0326</x:v>
      </x:c>
      <x:c r="E327" t="str">
        <x:v>Second Hand</x:v>
      </x:c>
      <x:c r="F327" t="str"/>
      <x:c r="G327" t="str"/>
      <x:c r="H327" t="str">
        <x:v>Epstein 34, Tel Aviv</x:v>
      </x:c>
      <x:c r="I327" t="str">
        <x:v>Tel Aviv</x:v>
      </x:c>
      <x:c r="J327" t="str">
        <x:v>Kikar HaMedina / New North</x:v>
      </x:c>
      <x:c r="K327" s="14" t="n">
        <x:v>0.73</x:v>
      </x:c>
      <x:c r="L327" t="str">
        <x:v>Apartment</x:v>
      </x:c>
      <x:c r="M327" t="n">
        <x:v>2</x:v>
      </x:c>
      <x:c r="N327" s="16" t="n">
        <x:v>47.1</x:v>
      </x:c>
      <x:c r="O327" t="n">
        <x:v>11</x:v>
      </x:c>
      <x:c r="P327" t="n">
        <x:v>17</x:v>
      </x:c>
      <x:c r="Q327" s="18" t="n">
        <x:v>3640000</x:v>
      </x:c>
      <x:c r="R327" s="18" t="n">
        <x:f>IFERROR(Q327/N327,"")</x:f>
        <x:v>77282.3779193206</x:v>
      </x:c>
      <x:c r="S327" t="n">
        <x:v>2020</x:v>
      </x:c>
      <x:c r="T327" t="n">
        <x:v>6</x:v>
      </x:c>
      <x:c r="U327" t="str">
        <x:v>Good</x:v>
      </x:c>
      <x:c r="V327" s="16" t="n">
        <x:v>12.3</x:v>
      </x:c>
      <x:c r="W327" t="str">
        <x:v>North</x:v>
      </x:c>
      <x:c r="X327" t="n">
        <x:v>1</x:v>
      </x:c>
      <x:c r="Y327" s="16" t="n">
        <x:v>7.4</x:v>
      </x:c>
      <x:c r="Z327" s="1" t="b">
        <x:v>1</x:v>
      </x:c>
      <x:c r="AA327" t="str">
        <x:v>North, West</x:v>
      </x:c>
      <x:c r="AB327" s="16" t="n">
        <x:v>0</x:v>
      </x:c>
      <x:c r="AC327" s="16" t="n">
        <x:v>0</x:v>
      </x:c>
      <x:c r="AD327" s="1" t="b">
        <x:v>0</x:v>
      </x:c>
    </x:row>
    <x:row r="328">
      <x:c r="A328" t="str">
        <x:v>SYN-0327</x:v>
      </x:c>
      <x:c r="B328" s="12" t="n">
        <x:v>46226</x:v>
      </x:c>
      <x:c r="C328" t="str">
        <x:v>Synthetic Yad2-like Listing</x:v>
      </x:c>
      <x:c r="D328" t="str">
        <x:v>https://example.com/listings/SYN-0327</x:v>
      </x:c>
      <x:c r="E328" t="str">
        <x:v>Second Hand</x:v>
      </x:c>
      <x:c r="F328" t="str"/>
      <x:c r="G328" t="str"/>
      <x:c r="H328" t="str">
        <x:v>Pinkas 111, Tel Aviv</x:v>
      </x:c>
      <x:c r="I328" t="str">
        <x:v>Tel Aviv</x:v>
      </x:c>
      <x:c r="J328" t="str">
        <x:v>Kikar HaMedina / New North</x:v>
      </x:c>
      <x:c r="K328" s="14" t="n">
        <x:v>0.52</x:v>
      </x:c>
      <x:c r="L328" t="str">
        <x:v>Apartment</x:v>
      </x:c>
      <x:c r="M328" t="n">
        <x:v>4</x:v>
      </x:c>
      <x:c r="N328" s="16" t="n">
        <x:v>100</x:v>
      </x:c>
      <x:c r="O328" t="n">
        <x:v>1</x:v>
      </x:c>
      <x:c r="P328" t="n">
        <x:v>10</x:v>
      </x:c>
      <x:c r="Q328" s="18" t="n">
        <x:v>7360000</x:v>
      </x:c>
      <x:c r="R328" s="18" t="n">
        <x:f>IFERROR(Q328/N328,"")</x:f>
        <x:v>73600</x:v>
      </x:c>
      <x:c r="S328" t="n">
        <x:v>2009</x:v>
      </x:c>
      <x:c r="T328" t="n">
        <x:v>17</x:v>
      </x:c>
      <x:c r="U328" t="str">
        <x:v>Good</x:v>
      </x:c>
      <x:c r="V328" s="16" t="n">
        <x:v>20.3</x:v>
      </x:c>
      <x:c r="W328" t="str">
        <x:v>South-East</x:v>
      </x:c>
      <x:c r="X328" t="n">
        <x:v>1</x:v>
      </x:c>
      <x:c r="Y328" s="16" t="n">
        <x:v>0</x:v>
      </x:c>
      <x:c r="Z328" s="1" t="b">
        <x:v>1</x:v>
      </x:c>
      <x:c r="AA328" t="str">
        <x:v>South-East, West</x:v>
      </x:c>
      <x:c r="AB328" s="16" t="n">
        <x:v>0</x:v>
      </x:c>
      <x:c r="AC328" s="16" t="n">
        <x:v>0</x:v>
      </x:c>
      <x:c r="AD328" s="1" t="b">
        <x:v>0</x:v>
      </x:c>
    </x:row>
    <x:row r="329">
      <x:c r="A329" t="str">
        <x:v>SYN-0328</x:v>
      </x:c>
      <x:c r="B329" s="12" t="n">
        <x:v>46237</x:v>
      </x:c>
      <x:c r="C329" t="str">
        <x:v>Synthetic Yad2-like Listing</x:v>
      </x:c>
      <x:c r="D329" t="str">
        <x:v>https://example.com/listings/SYN-0328</x:v>
      </x:c>
      <x:c r="E329" t="str">
        <x:v>Second Hand</x:v>
      </x:c>
      <x:c r="F329" t="str"/>
      <x:c r="G329" t="str"/>
      <x:c r="H329" t="str">
        <x:v>Mosenzon 119, Tel Aviv</x:v>
      </x:c>
      <x:c r="I329" t="str">
        <x:v>Tel Aviv</x:v>
      </x:c>
      <x:c r="J329" t="str">
        <x:v>Kikar HaMedina / New North</x:v>
      </x:c>
      <x:c r="K329" s="14" t="n">
        <x:v>0.86</x:v>
      </x:c>
      <x:c r="L329" t="str">
        <x:v>Apartment</x:v>
      </x:c>
      <x:c r="M329" t="n">
        <x:v>5</x:v>
      </x:c>
      <x:c r="N329" s="16" t="n">
        <x:v>125.3</x:v>
      </x:c>
      <x:c r="O329" t="n">
        <x:v>7</x:v>
      </x:c>
      <x:c r="P329" t="n">
        <x:v>15</x:v>
      </x:c>
      <x:c r="Q329" s="18" t="n">
        <x:v>9160000</x:v>
      </x:c>
      <x:c r="R329" s="18" t="n">
        <x:f>IFERROR(Q329/N329,"")</x:f>
        <x:v>73104.54908220272</x:v>
      </x:c>
      <x:c r="S329" t="n">
        <x:v>1965</x:v>
      </x:c>
      <x:c r="T329" t="n">
        <x:v>61</x:v>
      </x:c>
      <x:c r="U329" t="str">
        <x:v>Renovated</x:v>
      </x:c>
      <x:c r="V329" s="16" t="n">
        <x:v>21.5</x:v>
      </x:c>
      <x:c r="W329" t="str">
        <x:v>South-East</x:v>
      </x:c>
      <x:c r="X329" t="n">
        <x:v>1</x:v>
      </x:c>
      <x:c r="Y329" s="16" t="n">
        <x:v>4.3</x:v>
      </x:c>
      <x:c r="Z329" s="1" t="b">
        <x:v>1</x:v>
      </x:c>
      <x:c r="AA329" t="str">
        <x:v>South-East, North</x:v>
      </x:c>
      <x:c r="AB329" s="16" t="n">
        <x:v>0</x:v>
      </x:c>
      <x:c r="AC329" s="16" t="n">
        <x:v>0</x:v>
      </x:c>
      <x:c r="AD329" s="1" t="b">
        <x:v>0</x:v>
      </x:c>
    </x:row>
    <x:row r="330">
      <x:c r="A330" t="str">
        <x:v>SYN-0329</x:v>
      </x:c>
      <x:c r="B330" s="12" t="n">
        <x:v>46220</x:v>
      </x:c>
      <x:c r="C330" t="str">
        <x:v>Synthetic Yad2-like Listing</x:v>
      </x:c>
      <x:c r="D330" t="str">
        <x:v>https://example.com/listings/SYN-0329</x:v>
      </x:c>
      <x:c r="E330" t="str">
        <x:v>Second Hand</x:v>
      </x:c>
      <x:c r="F330" t="str"/>
      <x:c r="G330" t="str"/>
      <x:c r="H330" t="str">
        <x:v>Weizmann 131, Tel Aviv</x:v>
      </x:c>
      <x:c r="I330" t="str">
        <x:v>Tel Aviv</x:v>
      </x:c>
      <x:c r="J330" t="str">
        <x:v>Kikar HaMedina / New North</x:v>
      </x:c>
      <x:c r="K330" s="14" t="n">
        <x:v>0.33</x:v>
      </x:c>
      <x:c r="L330" t="str">
        <x:v>Apartment</x:v>
      </x:c>
      <x:c r="M330" t="n">
        <x:v>4</x:v>
      </x:c>
      <x:c r="N330" s="16" t="n">
        <x:v>93.8</x:v>
      </x:c>
      <x:c r="O330" t="n">
        <x:v>6</x:v>
      </x:c>
      <x:c r="P330" t="n">
        <x:v>8</x:v>
      </x:c>
      <x:c r="Q330" s="18" t="n">
        <x:v>6850000</x:v>
      </x:c>
      <x:c r="R330" s="18" t="n">
        <x:f>IFERROR(Q330/N330,"")</x:f>
        <x:v>73027.71855010661</x:v>
      </x:c>
      <x:c r="S330" t="n">
        <x:v>1996</x:v>
      </x:c>
      <x:c r="T330" t="n">
        <x:v>30</x:v>
      </x:c>
      <x:c r="U330" t="str">
        <x:v>Renovated</x:v>
      </x:c>
      <x:c r="V330" s="16" t="n">
        <x:v>10.4</x:v>
      </x:c>
      <x:c r="W330" t="str">
        <x:v>East</x:v>
      </x:c>
      <x:c r="X330" t="n">
        <x:v>1</x:v>
      </x:c>
      <x:c r="Y330" s="16" t="n">
        <x:v>4.7</x:v>
      </x:c>
      <x:c r="Z330" s="1" t="b">
        <x:v>1</x:v>
      </x:c>
      <x:c r="AA330" t="str">
        <x:v>East, West</x:v>
      </x:c>
      <x:c r="AB330" s="16" t="n">
        <x:v>0</x:v>
      </x:c>
      <x:c r="AC330" s="16" t="n">
        <x:v>0</x:v>
      </x:c>
      <x:c r="AD330" s="1" t="b">
        <x:v>0</x:v>
      </x:c>
    </x:row>
    <x:row r="331">
      <x:c r="A331" t="str">
        <x:v>SYN-0330</x:v>
      </x:c>
      <x:c r="B331" s="12" t="n">
        <x:v>46255</x:v>
      </x:c>
      <x:c r="C331" t="str">
        <x:v>Synthetic New-Project Listing</x:v>
      </x:c>
      <x:c r="D331" t="str">
        <x:v>https://example.com/listings/SYN-0330</x:v>
      </x:c>
      <x:c r="E331" t="str">
        <x:v>New Project</x:v>
      </x:c>
      <x:c r="F331" t="str">
        <x:v>Helsinki Gardens</x:v>
      </x:c>
      <x:c r="G331" t="str">
        <x:v>Sample Development C</x:v>
      </x:c>
      <x:c r="H331" t="str">
        <x:v>Epstein 117, Tel Aviv</x:v>
      </x:c>
      <x:c r="I331" t="str">
        <x:v>Tel Aviv</x:v>
      </x:c>
      <x:c r="J331" t="str">
        <x:v>Kikar HaMedina / New North</x:v>
      </x:c>
      <x:c r="K331" s="14" t="n">
        <x:v>0.8</x:v>
      </x:c>
      <x:c r="L331" t="str">
        <x:v>Apartment</x:v>
      </x:c>
      <x:c r="M331" t="n">
        <x:v>4</x:v>
      </x:c>
      <x:c r="N331" s="16" t="n">
        <x:v>103.4</x:v>
      </x:c>
      <x:c r="O331" t="n">
        <x:v>0</x:v>
      </x:c>
      <x:c r="P331" t="n">
        <x:v>5</x:v>
      </x:c>
      <x:c r="Q331" s="18" t="n">
        <x:v>8520000</x:v>
      </x:c>
      <x:c r="R331" s="18" t="n">
        <x:f>IFERROR(Q331/N331,"")</x:f>
        <x:v>82398.45261121857</x:v>
      </x:c>
      <x:c r="S331" t="n">
        <x:v>2026</x:v>
      </x:c>
      <x:c r="T331" t="n">
        <x:v>0</x:v>
      </x:c>
      <x:c r="U331" t="str">
        <x:v>New</x:v>
      </x:c>
      <x:c r="V331" s="16" t="n">
        <x:v>21.5</x:v>
      </x:c>
      <x:c r="W331" t="str">
        <x:v>North</x:v>
      </x:c>
      <x:c r="X331" t="n">
        <x:v>1</x:v>
      </x:c>
      <x:c r="Y331" s="16" t="n">
        <x:v>0</x:v>
      </x:c>
      <x:c r="Z331" s="1" t="b">
        <x:v>1</x:v>
      </x:c>
      <x:c r="AA331" t="str">
        <x:v>North, East</x:v>
      </x:c>
      <x:c r="AB331" s="16" t="n">
        <x:v>0</x:v>
      </x:c>
      <x:c r="AC331" s="16" t="n">
        <x:v>0</x:v>
      </x:c>
      <x:c r="AD331" s="1" t="b">
        <x:v>0</x:v>
      </x:c>
    </x:row>
    <x:row r="332">
      <x:c r="A332" t="str">
        <x:v>SYN-0331</x:v>
      </x:c>
      <x:c r="B332" s="12" t="n">
        <x:v>46212</x:v>
      </x:c>
      <x:c r="C332" t="str">
        <x:v>Synthetic New-Project Listing</x:v>
      </x:c>
      <x:c r="D332" t="str">
        <x:v>https://example.com/listings/SYN-0331</x:v>
      </x:c>
      <x:c r="E332" t="str">
        <x:v>New Project</x:v>
      </x:c>
      <x:c r="F332" t="str">
        <x:v>North TLV Living</x:v>
      </x:c>
      <x:c r="G332" t="str">
        <x:v>Sample Development D</x:v>
      </x:c>
      <x:c r="H332" t="str">
        <x:v>Epstein 158, Tel Aviv</x:v>
      </x:c>
      <x:c r="I332" t="str">
        <x:v>Tel Aviv</x:v>
      </x:c>
      <x:c r="J332" t="str">
        <x:v>Kikar HaMedina / New North</x:v>
      </x:c>
      <x:c r="K332" s="14" t="n">
        <x:v>0.84</x:v>
      </x:c>
      <x:c r="L332" t="str">
        <x:v>Apartment</x:v>
      </x:c>
      <x:c r="M332" t="n">
        <x:v>3</x:v>
      </x:c>
      <x:c r="N332" s="16" t="n">
        <x:v>82.2</x:v>
      </x:c>
      <x:c r="O332" t="n">
        <x:v>9</x:v>
      </x:c>
      <x:c r="P332" t="n">
        <x:v>14</x:v>
      </x:c>
      <x:c r="Q332" s="18" t="n">
        <x:v>6630000</x:v>
      </x:c>
      <x:c r="R332" s="18" t="n">
        <x:f>IFERROR(Q332/N332,"")</x:f>
        <x:v>80656.93430656934</x:v>
      </x:c>
      <x:c r="S332" t="n">
        <x:v>2026</x:v>
      </x:c>
      <x:c r="T332" t="n">
        <x:v>0</x:v>
      </x:c>
      <x:c r="U332" t="str">
        <x:v>New</x:v>
      </x:c>
      <x:c r="V332" s="16" t="n">
        <x:v>16.6</x:v>
      </x:c>
      <x:c r="W332" t="str">
        <x:v>North</x:v>
      </x:c>
      <x:c r="X332" t="n">
        <x:v>1</x:v>
      </x:c>
      <x:c r="Y332" s="16" t="n">
        <x:v>7.6</x:v>
      </x:c>
      <x:c r="Z332" s="1" t="b">
        <x:v>1</x:v>
      </x:c>
      <x:c r="AA332" t="str">
        <x:v>North</x:v>
      </x:c>
      <x:c r="AB332" s="16" t="n">
        <x:v>0</x:v>
      </x:c>
      <x:c r="AC332" s="16" t="n">
        <x:v>0</x:v>
      </x:c>
      <x:c r="AD332" s="1" t="b">
        <x:v>0</x:v>
      </x:c>
    </x:row>
    <x:row r="333">
      <x:c r="A333" t="str">
        <x:v>SYN-0332</x:v>
      </x:c>
      <x:c r="B333" s="12" t="n">
        <x:v>46251</x:v>
      </x:c>
      <x:c r="C333" t="str">
        <x:v>Synthetic New-Project Listing</x:v>
      </x:c>
      <x:c r="D333" t="str">
        <x:v>https://example.com/listings/SYN-0332</x:v>
      </x:c>
      <x:c r="E333" t="str">
        <x:v>New Project</x:v>
      </x:c>
      <x:c r="F333" t="str">
        <x:v>Weizmann Urban</x:v>
      </x:c>
      <x:c r="G333" t="str">
        <x:v>Sample Development B</x:v>
      </x:c>
      <x:c r="H333" t="str">
        <x:v>Weizmann 78, Tel Aviv</x:v>
      </x:c>
      <x:c r="I333" t="str">
        <x:v>Tel Aviv</x:v>
      </x:c>
      <x:c r="J333" t="str">
        <x:v>Kikar HaMedina / New North</x:v>
      </x:c>
      <x:c r="K333" s="14" t="n">
        <x:v>0.18</x:v>
      </x:c>
      <x:c r="L333" t="str">
        <x:v>Apartment</x:v>
      </x:c>
      <x:c r="M333" t="n">
        <x:v>3</x:v>
      </x:c>
      <x:c r="N333" s="16" t="n">
        <x:v>83.8</x:v>
      </x:c>
      <x:c r="O333" t="n">
        <x:v>11</x:v>
      </x:c>
      <x:c r="P333" t="n">
        <x:v>13</x:v>
      </x:c>
      <x:c r="Q333" s="18" t="n">
        <x:v>7240000</x:v>
      </x:c>
      <x:c r="R333" s="18" t="n">
        <x:f>IFERROR(Q333/N333,"")</x:f>
        <x:v>86396.18138424821</x:v>
      </x:c>
      <x:c r="S333" t="n">
        <x:v>2027</x:v>
      </x:c>
      <x:c r="T333" t="n">
        <x:v>0</x:v>
      </x:c>
      <x:c r="U333" t="str">
        <x:v>New</x:v>
      </x:c>
      <x:c r="V333" s="16" t="n">
        <x:v>18.4</x:v>
      </x:c>
      <x:c r="W333" t="str">
        <x:v>South-East</x:v>
      </x:c>
      <x:c r="X333" t="n">
        <x:v>1</x:v>
      </x:c>
      <x:c r="Y333" s="16" t="n">
        <x:v>0</x:v>
      </x:c>
      <x:c r="Z333" s="1" t="b">
        <x:v>1</x:v>
      </x:c>
      <x:c r="AA333" t="str">
        <x:v>South-East, East</x:v>
      </x:c>
      <x:c r="AB333" s="16" t="n">
        <x:v>0</x:v>
      </x:c>
      <x:c r="AC333" s="16" t="n">
        <x:v>0</x:v>
      </x:c>
      <x:c r="AD333" s="1" t="b">
        <x:v>0</x:v>
      </x:c>
    </x:row>
    <x:row r="334">
      <x:c r="A334" t="str">
        <x:v>SYN-0333</x:v>
      </x:c>
      <x:c r="B334" s="12" t="n">
        <x:v>46250</x:v>
      </x:c>
      <x:c r="C334" t="str">
        <x:v>Synthetic Yad2-like Listing</x:v>
      </x:c>
      <x:c r="D334" t="str">
        <x:v>https://example.com/listings/SYN-0333</x:v>
      </x:c>
      <x:c r="E334" t="str">
        <x:v>Second Hand</x:v>
      </x:c>
      <x:c r="F334" t="str"/>
      <x:c r="G334" t="str"/>
      <x:c r="H334" t="str">
        <x:v>Lissin 142, Tel Aviv</x:v>
      </x:c>
      <x:c r="I334" t="str">
        <x:v>Tel Aviv</x:v>
      </x:c>
      <x:c r="J334" t="str">
        <x:v>Kikar HaMedina / New North</x:v>
      </x:c>
      <x:c r="K334" s="14" t="n">
        <x:v>0.64</x:v>
      </x:c>
      <x:c r="L334" t="str">
        <x:v>Apartment</x:v>
      </x:c>
      <x:c r="M334" t="n">
        <x:v>5</x:v>
      </x:c>
      <x:c r="N334" s="16" t="n">
        <x:v>124.3</x:v>
      </x:c>
      <x:c r="O334" t="n">
        <x:v>7</x:v>
      </x:c>
      <x:c r="P334" t="n">
        <x:v>17</x:v>
      </x:c>
      <x:c r="Q334" s="18" t="n">
        <x:v>9490000</x:v>
      </x:c>
      <x:c r="R334" s="18" t="n">
        <x:f>IFERROR(Q334/N334,"")</x:f>
        <x:v>76347.54625905068</x:v>
      </x:c>
      <x:c r="S334" t="n">
        <x:v>2022</x:v>
      </x:c>
      <x:c r="T334" t="n">
        <x:v>4</x:v>
      </x:c>
      <x:c r="U334" t="str">
        <x:v>Good</x:v>
      </x:c>
      <x:c r="V334" s="16" t="n">
        <x:v>27.9</x:v>
      </x:c>
      <x:c r="W334" t="str">
        <x:v>South-East</x:v>
      </x:c>
      <x:c r="X334" t="n">
        <x:v>2</x:v>
      </x:c>
      <x:c r="Y334" s="16" t="n">
        <x:v>0</x:v>
      </x:c>
      <x:c r="Z334" s="1" t="b">
        <x:v>1</x:v>
      </x:c>
      <x:c r="AA334" t="str">
        <x:v>South-East, South</x:v>
      </x:c>
      <x:c r="AB334" s="16" t="n">
        <x:v>0</x:v>
      </x:c>
      <x:c r="AC334" s="16" t="n">
        <x:v>0</x:v>
      </x:c>
      <x:c r="AD334" s="1" t="b">
        <x:v>0</x:v>
      </x:c>
    </x:row>
    <x:row r="335">
      <x:c r="A335" t="str">
        <x:v>SYN-0334</x:v>
      </x:c>
      <x:c r="B335" s="12" t="n">
        <x:v>46226</x:v>
      </x:c>
      <x:c r="C335" t="str">
        <x:v>Synthetic Yad2-like Listing</x:v>
      </x:c>
      <x:c r="D335" t="str">
        <x:v>https://example.com/listings/SYN-0334</x:v>
      </x:c>
      <x:c r="E335" t="str">
        <x:v>Second Hand</x:v>
      </x:c>
      <x:c r="F335" t="str"/>
      <x:c r="G335" t="str"/>
      <x:c r="H335" t="str">
        <x:v>Mosenzon 115, Tel Aviv</x:v>
      </x:c>
      <x:c r="I335" t="str">
        <x:v>Tel Aviv</x:v>
      </x:c>
      <x:c r="J335" t="str">
        <x:v>Kikar HaMedina / New North</x:v>
      </x:c>
      <x:c r="K335" s="14" t="n">
        <x:v>0.69</x:v>
      </x:c>
      <x:c r="L335" t="str">
        <x:v>Apartment</x:v>
      </x:c>
      <x:c r="M335" t="n">
        <x:v>4</x:v>
      </x:c>
      <x:c r="N335" s="16" t="n">
        <x:v>104.3</x:v>
      </x:c>
      <x:c r="O335" t="n">
        <x:v>7</x:v>
      </x:c>
      <x:c r="P335" t="n">
        <x:v>11</x:v>
      </x:c>
      <x:c r="Q335" s="18" t="n">
        <x:v>6830000</x:v>
      </x:c>
      <x:c r="R335" s="18" t="n">
        <x:f>IFERROR(Q335/N335,"")</x:f>
        <x:v>65484.18024928092</x:v>
      </x:c>
      <x:c r="S335" t="n">
        <x:v>1967</x:v>
      </x:c>
      <x:c r="T335" t="n">
        <x:v>59</x:v>
      </x:c>
      <x:c r="U335" t="str">
        <x:v>Good</x:v>
      </x:c>
      <x:c r="V335" s="16" t="n">
        <x:v>14.8</x:v>
      </x:c>
      <x:c r="W335" t="str">
        <x:v>North-West</x:v>
      </x:c>
      <x:c r="X335" t="n">
        <x:v>1</x:v>
      </x:c>
      <x:c r="Y335" s="16" t="n">
        <x:v>7.5</x:v>
      </x:c>
      <x:c r="Z335" s="1" t="b">
        <x:v>0</x:v>
      </x:c>
      <x:c r="AA335" t="str">
        <x:v>North-West, West</x:v>
      </x:c>
      <x:c r="AB335" s="16" t="n">
        <x:v>0</x:v>
      </x:c>
      <x:c r="AC335" s="16" t="n">
        <x:v>0</x:v>
      </x:c>
      <x:c r="AD335" s="1" t="b">
        <x:v>0</x:v>
      </x:c>
    </x:row>
    <x:row r="336">
      <x:c r="A336" t="str">
        <x:v>SYN-0335</x:v>
      </x:c>
      <x:c r="B336" s="12" t="n">
        <x:v>46222</x:v>
      </x:c>
      <x:c r="C336" t="str">
        <x:v>Synthetic Yad2-like Listing</x:v>
      </x:c>
      <x:c r="D336" t="str">
        <x:v>https://example.com/listings/SYN-0335</x:v>
      </x:c>
      <x:c r="E336" t="str">
        <x:v>Second Hand</x:v>
      </x:c>
      <x:c r="F336" t="str"/>
      <x:c r="G336" t="str"/>
      <x:c r="H336" t="str">
        <x:v>Biltmore 93, Tel Aviv</x:v>
      </x:c>
      <x:c r="I336" t="str">
        <x:v>Tel Aviv</x:v>
      </x:c>
      <x:c r="J336" t="str">
        <x:v>Kikar HaMedina / New North</x:v>
      </x:c>
      <x:c r="K336" s="14" t="n">
        <x:v>0.96</x:v>
      </x:c>
      <x:c r="L336" t="str">
        <x:v>Apartment</x:v>
      </x:c>
      <x:c r="M336" t="n">
        <x:v>4</x:v>
      </x:c>
      <x:c r="N336" s="16" t="n">
        <x:v>99.8</x:v>
      </x:c>
      <x:c r="O336" t="n">
        <x:v>10</x:v>
      </x:c>
      <x:c r="P336" t="n">
        <x:v>16</x:v>
      </x:c>
      <x:c r="Q336" s="18" t="n">
        <x:v>6830000</x:v>
      </x:c>
      <x:c r="R336" s="18" t="n">
        <x:f>IFERROR(Q336/N336,"")</x:f>
        <x:v>68436.87374749499</x:v>
      </x:c>
      <x:c r="S336" t="n">
        <x:v>2006</x:v>
      </x:c>
      <x:c r="T336" t="n">
        <x:v>20</x:v>
      </x:c>
      <x:c r="U336" t="str">
        <x:v>Good</x:v>
      </x:c>
      <x:c r="V336" s="16" t="n">
        <x:v>0</x:v>
      </x:c>
      <x:c r="W336" t="str"/>
      <x:c r="X336" t="n">
        <x:v>1</x:v>
      </x:c>
      <x:c r="Y336" s="16" t="n">
        <x:v>0</x:v>
      </x:c>
      <x:c r="Z336" s="1" t="b">
        <x:v>0</x:v>
      </x:c>
      <x:c r="AA336" t="str">
        <x:v>East-West</x:v>
      </x:c>
      <x:c r="AB336" s="16" t="n">
        <x:v>0</x:v>
      </x:c>
      <x:c r="AC336" s="16" t="n">
        <x:v>0</x:v>
      </x:c>
      <x:c r="AD336" s="1" t="b">
        <x:v>0</x:v>
      </x:c>
    </x:row>
    <x:row r="337">
      <x:c r="A337" t="str">
        <x:v>SYN-0336</x:v>
      </x:c>
      <x:c r="B337" s="12" t="n">
        <x:v>46231</x:v>
      </x:c>
      <x:c r="C337" t="str">
        <x:v>Synthetic Yad2-like Listing</x:v>
      </x:c>
      <x:c r="D337" t="str">
        <x:v>https://example.com/listings/SYN-0336</x:v>
      </x:c>
      <x:c r="E337" t="str">
        <x:v>Second Hand</x:v>
      </x:c>
      <x:c r="F337" t="str"/>
      <x:c r="G337" t="str"/>
      <x:c r="H337" t="str">
        <x:v>Pinkas 45, Tel Aviv</x:v>
      </x:c>
      <x:c r="I337" t="str">
        <x:v>Tel Aviv</x:v>
      </x:c>
      <x:c r="J337" t="str">
        <x:v>Kikar HaMedina / New North</x:v>
      </x:c>
      <x:c r="K337" s="14" t="n">
        <x:v>0.35</x:v>
      </x:c>
      <x:c r="L337" t="str">
        <x:v>Apartment</x:v>
      </x:c>
      <x:c r="M337" t="n">
        <x:v>2</x:v>
      </x:c>
      <x:c r="N337" s="16" t="n">
        <x:v>52.8</x:v>
      </x:c>
      <x:c r="O337" t="n">
        <x:v>2</x:v>
      </x:c>
      <x:c r="P337" t="n">
        <x:v>7</x:v>
      </x:c>
      <x:c r="Q337" s="18" t="n">
        <x:v>4400000</x:v>
      </x:c>
      <x:c r="R337" s="18" t="n">
        <x:f>IFERROR(Q337/N337,"")</x:f>
        <x:v>83333.33333333334</x:v>
      </x:c>
      <x:c r="S337" t="n">
        <x:v>2016</x:v>
      </x:c>
      <x:c r="T337" t="n">
        <x:v>10</x:v>
      </x:c>
      <x:c r="U337" t="str">
        <x:v>Renovated</x:v>
      </x:c>
      <x:c r="V337" s="16" t="n">
        <x:v>20.7</x:v>
      </x:c>
      <x:c r="W337" t="str">
        <x:v>South-West</x:v>
      </x:c>
      <x:c r="X337" t="n">
        <x:v>1</x:v>
      </x:c>
      <x:c r="Y337" s="16" t="n">
        <x:v>3.3</x:v>
      </x:c>
      <x:c r="Z337" s="1" t="b">
        <x:v>1</x:v>
      </x:c>
      <x:c r="AA337" t="str">
        <x:v>South-West, East</x:v>
      </x:c>
      <x:c r="AB337" s="16" t="n">
        <x:v>0</x:v>
      </x:c>
      <x:c r="AC337" s="16" t="n">
        <x:v>0</x:v>
      </x:c>
      <x:c r="AD337" s="1" t="b">
        <x:v>0</x:v>
      </x:c>
    </x:row>
    <x:row r="338">
      <x:c r="A338" t="str">
        <x:v>SYN-0337</x:v>
      </x:c>
      <x:c r="B338" s="12" t="n">
        <x:v>46243</x:v>
      </x:c>
      <x:c r="C338" t="str">
        <x:v>Synthetic New-Project Listing</x:v>
      </x:c>
      <x:c r="D338" t="str">
        <x:v>https://example.com/listings/SYN-0337</x:v>
      </x:c>
      <x:c r="E338" t="str">
        <x:v>New Project</x:v>
      </x:c>
      <x:c r="F338" t="str">
        <x:v>Medina Boutique</x:v>
      </x:c>
      <x:c r="G338" t="str">
        <x:v>Sample Development E</x:v>
      </x:c>
      <x:c r="H338" t="str">
        <x:v>Weizmann 113, Tel Aviv</x:v>
      </x:c>
      <x:c r="I338" t="str">
        <x:v>Tel Aviv</x:v>
      </x:c>
      <x:c r="J338" t="str">
        <x:v>Kikar HaMedina / New North</x:v>
      </x:c>
      <x:c r="K338" s="14" t="n">
        <x:v>0.2</x:v>
      </x:c>
      <x:c r="L338" t="str">
        <x:v>Apartment</x:v>
      </x:c>
      <x:c r="M338" t="n">
        <x:v>3</x:v>
      </x:c>
      <x:c r="N338" s="16" t="n">
        <x:v>77.9</x:v>
      </x:c>
      <x:c r="O338" t="n">
        <x:v>7</x:v>
      </x:c>
      <x:c r="P338" t="n">
        <x:v>12</x:v>
      </x:c>
      <x:c r="Q338" s="18" t="n">
        <x:v>6840000</x:v>
      </x:c>
      <x:c r="R338" s="18" t="n">
        <x:f>IFERROR(Q338/N338,"")</x:f>
        <x:v>87804.87804878048</x:v>
      </x:c>
      <x:c r="S338" t="n">
        <x:v>2027</x:v>
      </x:c>
      <x:c r="T338" t="n">
        <x:v>0</x:v>
      </x:c>
      <x:c r="U338" t="str">
        <x:v>New</x:v>
      </x:c>
      <x:c r="V338" s="16" t="n">
        <x:v>20.3</x:v>
      </x:c>
      <x:c r="W338" t="str">
        <x:v>North-East</x:v>
      </x:c>
      <x:c r="X338" t="n">
        <x:v>1</x:v>
      </x:c>
      <x:c r="Y338" s="16" t="n">
        <x:v>0</x:v>
      </x:c>
      <x:c r="Z338" s="1" t="b">
        <x:v>1</x:v>
      </x:c>
      <x:c r="AA338" t="str">
        <x:v>North-East</x:v>
      </x:c>
      <x:c r="AB338" s="16" t="n">
        <x:v>0</x:v>
      </x:c>
      <x:c r="AC338" s="16" t="n">
        <x:v>0</x:v>
      </x:c>
      <x:c r="AD338" s="1" t="b">
        <x:v>0</x:v>
      </x:c>
    </x:row>
    <x:row r="339">
      <x:c r="A339" t="str">
        <x:v>SYN-0338</x:v>
      </x:c>
      <x:c r="B339" s="12" t="n">
        <x:v>46253</x:v>
      </x:c>
      <x:c r="C339" t="str">
        <x:v>Synthetic Yad2-like Listing</x:v>
      </x:c>
      <x:c r="D339" t="str">
        <x:v>https://example.com/listings/SYN-0338</x:v>
      </x:c>
      <x:c r="E339" t="str">
        <x:v>Second Hand</x:v>
      </x:c>
      <x:c r="F339" t="str"/>
      <x:c r="G339" t="str"/>
      <x:c r="H339" t="str">
        <x:v>Mosenzon 86, Tel Aviv</x:v>
      </x:c>
      <x:c r="I339" t="str">
        <x:v>Tel Aviv</x:v>
      </x:c>
      <x:c r="J339" t="str">
        <x:v>Kikar HaMedina / New North</x:v>
      </x:c>
      <x:c r="K339" s="14" t="n">
        <x:v>0.62</x:v>
      </x:c>
      <x:c r="L339" t="str">
        <x:v>Garden Apartment</x:v>
      </x:c>
      <x:c r="M339" t="n">
        <x:v>5</x:v>
      </x:c>
      <x:c r="N339" s="16" t="n">
        <x:v>133.4</x:v>
      </x:c>
      <x:c r="O339" t="n">
        <x:v>0</x:v>
      </x:c>
      <x:c r="P339" t="n">
        <x:v>12</x:v>
      </x:c>
      <x:c r="Q339" s="18" t="n">
        <x:v>12110000</x:v>
      </x:c>
      <x:c r="R339" s="18" t="n">
        <x:f>IFERROR(Q339/N339,"")</x:f>
        <x:v>90779.61019490255</x:v>
      </x:c>
      <x:c r="S339" t="n">
        <x:v>2015</x:v>
      </x:c>
      <x:c r="T339" t="n">
        <x:v>11</x:v>
      </x:c>
      <x:c r="U339" t="str">
        <x:v>Renovated</x:v>
      </x:c>
      <x:c r="V339" s="16" t="n">
        <x:v>94.2</x:v>
      </x:c>
      <x:c r="W339" t="str">
        <x:v>East</x:v>
      </x:c>
      <x:c r="X339" t="n">
        <x:v>0</x:v>
      </x:c>
      <x:c r="Y339" s="16" t="n">
        <x:v>0</x:v>
      </x:c>
      <x:c r="Z339" s="1" t="b">
        <x:v>1</x:v>
      </x:c>
      <x:c r="AA339" t="str">
        <x:v>East</x:v>
      </x:c>
      <x:c r="AB339" s="16" t="n">
        <x:v>92.6</x:v>
      </x:c>
      <x:c r="AC339" s="16" t="n">
        <x:v>0</x:v>
      </x:c>
      <x:c r="AD339" s="1" t="b">
        <x:v>0</x:v>
      </x:c>
    </x:row>
    <x:row r="340">
      <x:c r="A340" t="str">
        <x:v>SYN-0339</x:v>
      </x:c>
      <x:c r="B340" s="12" t="n">
        <x:v>46205</x:v>
      </x:c>
      <x:c r="C340" t="str">
        <x:v>Synthetic Yad2-like Listing</x:v>
      </x:c>
      <x:c r="D340" t="str">
        <x:v>https://example.com/listings/SYN-0339</x:v>
      </x:c>
      <x:c r="E340" t="str">
        <x:v>Second Hand</x:v>
      </x:c>
      <x:c r="F340" t="str"/>
      <x:c r="G340" t="str"/>
      <x:c r="H340" t="str">
        <x:v>Jabotinsky 105, Tel Aviv</x:v>
      </x:c>
      <x:c r="I340" t="str">
        <x:v>Tel Aviv</x:v>
      </x:c>
      <x:c r="J340" t="str">
        <x:v>Kikar HaMedina / New North</x:v>
      </x:c>
      <x:c r="K340" s="14" t="n">
        <x:v>0.6</x:v>
      </x:c>
      <x:c r="L340" t="str">
        <x:v>Apartment</x:v>
      </x:c>
      <x:c r="M340" t="n">
        <x:v>3</x:v>
      </x:c>
      <x:c r="N340" s="16" t="n">
        <x:v>83.6</x:v>
      </x:c>
      <x:c r="O340" t="n">
        <x:v>5</x:v>
      </x:c>
      <x:c r="P340" t="n">
        <x:v>10</x:v>
      </x:c>
      <x:c r="Q340" s="18" t="n">
        <x:v>6230000</x:v>
      </x:c>
      <x:c r="R340" s="18" t="n">
        <x:f>IFERROR(Q340/N340,"")</x:f>
        <x:v>74521.53110047847</x:v>
      </x:c>
      <x:c r="S340" t="n">
        <x:v>2008</x:v>
      </x:c>
      <x:c r="T340" t="n">
        <x:v>18</x:v>
      </x:c>
      <x:c r="U340" t="str">
        <x:v>Good</x:v>
      </x:c>
      <x:c r="V340" s="16" t="n">
        <x:v>14</x:v>
      </x:c>
      <x:c r="W340" t="str">
        <x:v>South-East</x:v>
      </x:c>
      <x:c r="X340" t="n">
        <x:v>1</x:v>
      </x:c>
      <x:c r="Y340" s="16" t="n">
        <x:v>0</x:v>
      </x:c>
      <x:c r="Z340" s="1" t="b">
        <x:v>1</x:v>
      </x:c>
      <x:c r="AA340" t="str">
        <x:v>South-East, West</x:v>
      </x:c>
      <x:c r="AB340" s="16" t="n">
        <x:v>0</x:v>
      </x:c>
      <x:c r="AC340" s="16" t="n">
        <x:v>0</x:v>
      </x:c>
      <x:c r="AD340" s="1" t="b">
        <x:v>0</x:v>
      </x:c>
    </x:row>
    <x:row r="341">
      <x:c r="A341" t="str">
        <x:v>SYN-0340</x:v>
      </x:c>
      <x:c r="B341" s="12" t="n">
        <x:v>46250</x:v>
      </x:c>
      <x:c r="C341" t="str">
        <x:v>Synthetic Yad2-like Listing</x:v>
      </x:c>
      <x:c r="D341" t="str">
        <x:v>https://example.com/listings/SYN-0340</x:v>
      </x:c>
      <x:c r="E341" t="str">
        <x:v>Second Hand</x:v>
      </x:c>
      <x:c r="F341" t="str"/>
      <x:c r="G341" t="str"/>
      <x:c r="H341" t="str">
        <x:v>Klay 76, Tel Aviv</x:v>
      </x:c>
      <x:c r="I341" t="str">
        <x:v>Tel Aviv</x:v>
      </x:c>
      <x:c r="J341" t="str">
        <x:v>Kikar HaMedina / New North</x:v>
      </x:c>
      <x:c r="K341" s="14" t="n">
        <x:v>0.66</x:v>
      </x:c>
      <x:c r="L341" t="str">
        <x:v>Penthouse</x:v>
      </x:c>
      <x:c r="M341" t="n">
        <x:v>4</x:v>
      </x:c>
      <x:c r="N341" s="16" t="n">
        <x:v>102.4</x:v>
      </x:c>
      <x:c r="O341" t="n">
        <x:v>8</x:v>
      </x:c>
      <x:c r="P341" t="n">
        <x:v>10</x:v>
      </x:c>
      <x:c r="Q341" s="18" t="n">
        <x:v>8760000</x:v>
      </x:c>
      <x:c r="R341" s="18" t="n">
        <x:f>IFERROR(Q341/N341,"")</x:f>
        <x:v>85546.875</x:v>
      </x:c>
      <x:c r="S341" t="n">
        <x:v>1996</x:v>
      </x:c>
      <x:c r="T341" t="n">
        <x:v>30</x:v>
      </x:c>
      <x:c r="U341" t="str">
        <x:v>Renovated</x:v>
      </x:c>
      <x:c r="V341" s="16" t="n">
        <x:v>26.6</x:v>
      </x:c>
      <x:c r="W341" t="str">
        <x:v>North</x:v>
      </x:c>
      <x:c r="X341" t="n">
        <x:v>1</x:v>
      </x:c>
      <x:c r="Y341" s="16" t="n">
        <x:v>9.5</x:v>
      </x:c>
      <x:c r="Z341" s="1" t="b">
        <x:v>1</x:v>
      </x:c>
      <x:c r="AA341" t="str">
        <x:v>North, North</x:v>
      </x:c>
      <x:c r="AB341" s="16" t="n">
        <x:v>0</x:v>
      </x:c>
      <x:c r="AC341" s="16" t="n">
        <x:v>58.9</x:v>
      </x:c>
      <x:c r="AD341" s="1" t="b">
        <x:v>0</x:v>
      </x:c>
    </x:row>
    <x:row r="342">
      <x:c r="A342" t="str">
        <x:v>SYN-0341</x:v>
      </x:c>
      <x:c r="B342" s="12" t="n">
        <x:v>46212</x:v>
      </x:c>
      <x:c r="C342" t="str">
        <x:v>Synthetic Yad2-like Listing</x:v>
      </x:c>
      <x:c r="D342" t="str">
        <x:v>https://example.com/listings/SYN-0341</x:v>
      </x:c>
      <x:c r="E342" t="str">
        <x:v>Second Hand</x:v>
      </x:c>
      <x:c r="F342" t="str"/>
      <x:c r="G342" t="str"/>
      <x:c r="H342" t="str">
        <x:v>Biltmore 22, Tel Aviv</x:v>
      </x:c>
      <x:c r="I342" t="str">
        <x:v>Tel Aviv</x:v>
      </x:c>
      <x:c r="J342" t="str">
        <x:v>Kikar HaMedina / New North</x:v>
      </x:c>
      <x:c r="K342" s="14" t="n">
        <x:v>0.93</x:v>
      </x:c>
      <x:c r="L342" t="str">
        <x:v>Apartment</x:v>
      </x:c>
      <x:c r="M342" t="n">
        <x:v>5</x:v>
      </x:c>
      <x:c r="N342" s="16" t="n">
        <x:v>112.2</x:v>
      </x:c>
      <x:c r="O342" t="n">
        <x:v>4</x:v>
      </x:c>
      <x:c r="P342" t="n">
        <x:v>13</x:v>
      </x:c>
      <x:c r="Q342" s="18" t="n">
        <x:v>6850000</x:v>
      </x:c>
      <x:c r="R342" s="18" t="n">
        <x:f>IFERROR(Q342/N342,"")</x:f>
        <x:v>61051.69340463458</x:v>
      </x:c>
      <x:c r="S342" t="n">
        <x:v>1982</x:v>
      </x:c>
      <x:c r="T342" t="n">
        <x:v>44</x:v>
      </x:c>
      <x:c r="U342" t="str">
        <x:v>Needs Renovation</x:v>
      </x:c>
      <x:c r="V342" s="16" t="n">
        <x:v>17.7</x:v>
      </x:c>
      <x:c r="W342" t="str">
        <x:v>West</x:v>
      </x:c>
      <x:c r="X342" t="n">
        <x:v>0</x:v>
      </x:c>
      <x:c r="Y342" s="16" t="n">
        <x:v>0</x:v>
      </x:c>
      <x:c r="Z342" s="1" t="b">
        <x:v>1</x:v>
      </x:c>
      <x:c r="AA342" t="str">
        <x:v>West</x:v>
      </x:c>
      <x:c r="AB342" s="16" t="n">
        <x:v>0</x:v>
      </x:c>
      <x:c r="AC342" s="16" t="n">
        <x:v>0</x:v>
      </x:c>
      <x:c r="AD342" s="1" t="b">
        <x:v>0</x:v>
      </x:c>
    </x:row>
    <x:row r="343">
      <x:c r="A343" t="str">
        <x:v>SYN-0342</x:v>
      </x:c>
      <x:c r="B343" s="12" t="n">
        <x:v>46244</x:v>
      </x:c>
      <x:c r="C343" t="str">
        <x:v>Synthetic Yad2-like Listing</x:v>
      </x:c>
      <x:c r="D343" t="str">
        <x:v>https://example.com/listings/SYN-0342</x:v>
      </x:c>
      <x:c r="E343" t="str">
        <x:v>Second Hand</x:v>
      </x:c>
      <x:c r="F343" t="str"/>
      <x:c r="G343" t="str"/>
      <x:c r="H343" t="str">
        <x:v>Bavli 109, Tel Aviv</x:v>
      </x:c>
      <x:c r="I343" t="str">
        <x:v>Tel Aviv</x:v>
      </x:c>
      <x:c r="J343" t="str">
        <x:v>Kikar HaMedina / New North</x:v>
      </x:c>
      <x:c r="K343" s="14" t="n">
        <x:v>0.59</x:v>
      </x:c>
      <x:c r="L343" t="str">
        <x:v>Apartment</x:v>
      </x:c>
      <x:c r="M343" t="n">
        <x:v>4</x:v>
      </x:c>
      <x:c r="N343" s="16" t="n">
        <x:v>92.3</x:v>
      </x:c>
      <x:c r="O343" t="n">
        <x:v>8</x:v>
      </x:c>
      <x:c r="P343" t="n">
        <x:v>17</x:v>
      </x:c>
      <x:c r="Q343" s="18" t="n">
        <x:v>6300000</x:v>
      </x:c>
      <x:c r="R343" s="18" t="n">
        <x:f>IFERROR(Q343/N343,"")</x:f>
        <x:v>68255.68797399783</x:v>
      </x:c>
      <x:c r="S343" t="n">
        <x:v>1975</x:v>
      </x:c>
      <x:c r="T343" t="n">
        <x:v>51</x:v>
      </x:c>
      <x:c r="U343" t="str">
        <x:v>Good</x:v>
      </x:c>
      <x:c r="V343" s="16" t="n">
        <x:v>18.2</x:v>
      </x:c>
      <x:c r="W343" t="str">
        <x:v>North</x:v>
      </x:c>
      <x:c r="X343" t="n">
        <x:v>1</x:v>
      </x:c>
      <x:c r="Y343" s="16" t="n">
        <x:v>0</x:v>
      </x:c>
      <x:c r="Z343" s="1" t="b">
        <x:v>1</x:v>
      </x:c>
      <x:c r="AA343" t="str">
        <x:v>North, East</x:v>
      </x:c>
      <x:c r="AB343" s="16" t="n">
        <x:v>0</x:v>
      </x:c>
      <x:c r="AC343" s="16" t="n">
        <x:v>0</x:v>
      </x:c>
      <x:c r="AD343" s="1" t="b">
        <x:v>0</x:v>
      </x:c>
    </x:row>
    <x:row r="344">
      <x:c r="A344" t="str">
        <x:v>SYN-0343</x:v>
      </x:c>
      <x:c r="B344" s="12" t="n">
        <x:v>46249</x:v>
      </x:c>
      <x:c r="C344" t="str">
        <x:v>Synthetic Yad2-like Listing</x:v>
      </x:c>
      <x:c r="D344" t="str">
        <x:v>https://example.com/listings/SYN-0343</x:v>
      </x:c>
      <x:c r="E344" t="str">
        <x:v>Second Hand</x:v>
      </x:c>
      <x:c r="F344" t="str"/>
      <x:c r="G344" t="str"/>
      <x:c r="H344" t="str">
        <x:v>Klay 77, Tel Aviv</x:v>
      </x:c>
      <x:c r="I344" t="str">
        <x:v>Tel Aviv</x:v>
      </x:c>
      <x:c r="J344" t="str">
        <x:v>Kikar HaMedina / New North</x:v>
      </x:c>
      <x:c r="K344" s="14" t="n">
        <x:v>0.63</x:v>
      </x:c>
      <x:c r="L344" t="str">
        <x:v>Apartment</x:v>
      </x:c>
      <x:c r="M344" t="n">
        <x:v>2</x:v>
      </x:c>
      <x:c r="N344" s="16" t="n">
        <x:v>56.6</x:v>
      </x:c>
      <x:c r="O344" t="n">
        <x:v>1</x:v>
      </x:c>
      <x:c r="P344" t="n">
        <x:v>11</x:v>
      </x:c>
      <x:c r="Q344" s="18" t="n">
        <x:v>3920000</x:v>
      </x:c>
      <x:c r="R344" s="18" t="n">
        <x:f>IFERROR(Q344/N344,"")</x:f>
        <x:v>69257.95053003533</x:v>
      </x:c>
      <x:c r="S344" t="n">
        <x:v>1997</x:v>
      </x:c>
      <x:c r="T344" t="n">
        <x:v>29</x:v>
      </x:c>
      <x:c r="U344" t="str">
        <x:v>Good</x:v>
      </x:c>
      <x:c r="V344" s="16" t="n">
        <x:v>0</x:v>
      </x:c>
      <x:c r="W344" t="str"/>
      <x:c r="X344" t="n">
        <x:v>1</x:v>
      </x:c>
      <x:c r="Y344" s="16" t="n">
        <x:v>0</x:v>
      </x:c>
      <x:c r="Z344" s="1" t="b">
        <x:v>1</x:v>
      </x:c>
      <x:c r="AA344" t="str">
        <x:v>South-West-East</x:v>
      </x:c>
      <x:c r="AB344" s="16" t="n">
        <x:v>0</x:v>
      </x:c>
      <x:c r="AC344" s="16" t="n">
        <x:v>0</x:v>
      </x:c>
      <x:c r="AD344" s="1" t="b">
        <x:v>0</x:v>
      </x:c>
    </x:row>
    <x:row r="345">
      <x:c r="A345" t="str">
        <x:v>SYN-0344</x:v>
      </x:c>
      <x:c r="B345" s="12" t="n">
        <x:v>46241</x:v>
      </x:c>
      <x:c r="C345" t="str">
        <x:v>Synthetic New-Project Listing</x:v>
      </x:c>
      <x:c r="D345" t="str">
        <x:v>https://example.com/listings/SYN-0344</x:v>
      </x:c>
      <x:c r="E345" t="str">
        <x:v>New Project</x:v>
      </x:c>
      <x:c r="F345" t="str">
        <x:v>Kikar Residence</x:v>
      </x:c>
      <x:c r="G345" t="str">
        <x:v>Sample Development A</x:v>
      </x:c>
      <x:c r="H345" t="str">
        <x:v>Helsinki 109, Tel Aviv</x:v>
      </x:c>
      <x:c r="I345" t="str">
        <x:v>Tel Aviv</x:v>
      </x:c>
      <x:c r="J345" t="str">
        <x:v>Kikar HaMedina / New North</x:v>
      </x:c>
      <x:c r="K345" s="14" t="n">
        <x:v>0.05</x:v>
      </x:c>
      <x:c r="L345" t="str">
        <x:v>Apartment</x:v>
      </x:c>
      <x:c r="M345" t="n">
        <x:v>4</x:v>
      </x:c>
      <x:c r="N345" s="16" t="n">
        <x:v>90.1</x:v>
      </x:c>
      <x:c r="O345" t="n">
        <x:v>8</x:v>
      </x:c>
      <x:c r="P345" t="n">
        <x:v>18</x:v>
      </x:c>
      <x:c r="Q345" s="18" t="n">
        <x:v>7480000</x:v>
      </x:c>
      <x:c r="R345" s="18" t="n">
        <x:f>IFERROR(Q345/N345,"")</x:f>
        <x:v>83018.86792452831</x:v>
      </x:c>
      <x:c r="S345" t="n">
        <x:v>2025</x:v>
      </x:c>
      <x:c r="T345" t="n">
        <x:v>1</x:v>
      </x:c>
      <x:c r="U345" t="str">
        <x:v>New</x:v>
      </x:c>
      <x:c r="V345" s="16" t="n">
        <x:v>15.3</x:v>
      </x:c>
      <x:c r="W345" t="str">
        <x:v>East</x:v>
      </x:c>
      <x:c r="X345" t="n">
        <x:v>1</x:v>
      </x:c>
      <x:c r="Y345" s="16" t="n">
        <x:v>0</x:v>
      </x:c>
      <x:c r="Z345" s="1" t="b">
        <x:v>1</x:v>
      </x:c>
      <x:c r="AA345" t="str">
        <x:v>East, North</x:v>
      </x:c>
      <x:c r="AB345" s="16" t="n">
        <x:v>0</x:v>
      </x:c>
      <x:c r="AC345" s="16" t="n">
        <x:v>0</x:v>
      </x:c>
      <x:c r="AD345" s="1" t="b">
        <x:v>0</x:v>
      </x:c>
    </x:row>
    <x:row r="346">
      <x:c r="A346" t="str">
        <x:v>SYN-0345</x:v>
      </x:c>
      <x:c r="B346" s="12" t="n">
        <x:v>46217</x:v>
      </x:c>
      <x:c r="C346" t="str">
        <x:v>Synthetic Yad2-like Listing</x:v>
      </x:c>
      <x:c r="D346" t="str">
        <x:v>https://example.com/listings/SYN-0345</x:v>
      </x:c>
      <x:c r="E346" t="str">
        <x:v>Second Hand</x:v>
      </x:c>
      <x:c r="F346" t="str"/>
      <x:c r="G346" t="str"/>
      <x:c r="H346" t="str">
        <x:v>Pinkas 118, Tel Aviv</x:v>
      </x:c>
      <x:c r="I346" t="str">
        <x:v>Tel Aviv</x:v>
      </x:c>
      <x:c r="J346" t="str">
        <x:v>Kikar HaMedina / New North</x:v>
      </x:c>
      <x:c r="K346" s="14" t="n">
        <x:v>0.36</x:v>
      </x:c>
      <x:c r="L346" t="str">
        <x:v>Apartment</x:v>
      </x:c>
      <x:c r="M346" t="n">
        <x:v>4</x:v>
      </x:c>
      <x:c r="N346" s="16" t="n">
        <x:v>105.4</x:v>
      </x:c>
      <x:c r="O346" t="n">
        <x:v>9</x:v>
      </x:c>
      <x:c r="P346" t="n">
        <x:v>17</x:v>
      </x:c>
      <x:c r="Q346" s="18" t="n">
        <x:v>6780000</x:v>
      </x:c>
      <x:c r="R346" s="18" t="n">
        <x:f>IFERROR(Q346/N346,"")</x:f>
        <x:v>64326.37571157495</x:v>
      </x:c>
      <x:c r="S346" t="n">
        <x:v>1986</x:v>
      </x:c>
      <x:c r="T346" t="n">
        <x:v>40</x:v>
      </x:c>
      <x:c r="U346" t="str">
        <x:v>Good</x:v>
      </x:c>
      <x:c r="V346" s="16" t="n">
        <x:v>0</x:v>
      </x:c>
      <x:c r="W346" t="str"/>
      <x:c r="X346" t="n">
        <x:v>1</x:v>
      </x:c>
      <x:c r="Y346" s="16" t="n">
        <x:v>0</x:v>
      </x:c>
      <x:c r="Z346" s="1" t="b">
        <x:v>1</x:v>
      </x:c>
      <x:c r="AA346" t="str">
        <x:v>North</x:v>
      </x:c>
      <x:c r="AB346" s="16" t="n">
        <x:v>0</x:v>
      </x:c>
      <x:c r="AC346" s="16" t="n">
        <x:v>0</x:v>
      </x:c>
      <x:c r="AD346" s="1" t="b">
        <x:v>0</x:v>
      </x:c>
    </x:row>
    <x:row r="347">
      <x:c r="A347" t="str">
        <x:v>SYN-0346</x:v>
      </x:c>
      <x:c r="B347" s="12" t="n">
        <x:v>46241</x:v>
      </x:c>
      <x:c r="C347" t="str">
        <x:v>Synthetic Yad2-like Listing</x:v>
      </x:c>
      <x:c r="D347" t="str">
        <x:v>https://example.com/listings/SYN-0346</x:v>
      </x:c>
      <x:c r="E347" t="str">
        <x:v>Second Hand</x:v>
      </x:c>
      <x:c r="F347" t="str"/>
      <x:c r="G347" t="str"/>
      <x:c r="H347" t="str">
        <x:v>Bavli 96, Tel Aviv</x:v>
      </x:c>
      <x:c r="I347" t="str">
        <x:v>Tel Aviv</x:v>
      </x:c>
      <x:c r="J347" t="str">
        <x:v>Kikar HaMedina / New North</x:v>
      </x:c>
      <x:c r="K347" s="14" t="n">
        <x:v>0.75</x:v>
      </x:c>
      <x:c r="L347" t="str">
        <x:v>Apartment</x:v>
      </x:c>
      <x:c r="M347" t="n">
        <x:v>2</x:v>
      </x:c>
      <x:c r="N347" s="16" t="n">
        <x:v>48.2</x:v>
      </x:c>
      <x:c r="O347" t="n">
        <x:v>8</x:v>
      </x:c>
      <x:c r="P347" t="n">
        <x:v>14</x:v>
      </x:c>
      <x:c r="Q347" s="18" t="n">
        <x:v>3750000</x:v>
      </x:c>
      <x:c r="R347" s="18" t="n">
        <x:f>IFERROR(Q347/N347,"")</x:f>
        <x:v>77800.82987551867</x:v>
      </x:c>
      <x:c r="S347" t="n">
        <x:v>1969</x:v>
      </x:c>
      <x:c r="T347" t="n">
        <x:v>57</x:v>
      </x:c>
      <x:c r="U347" t="str">
        <x:v>Renovated</x:v>
      </x:c>
      <x:c r="V347" s="16" t="n">
        <x:v>21.6</x:v>
      </x:c>
      <x:c r="W347" t="str">
        <x:v>South</x:v>
      </x:c>
      <x:c r="X347" t="n">
        <x:v>1</x:v>
      </x:c>
      <x:c r="Y347" s="16" t="n">
        <x:v>0</x:v>
      </x:c>
      <x:c r="Z347" s="1" t="b">
        <x:v>1</x:v>
      </x:c>
      <x:c r="AA347" t="str">
        <x:v>South, North</x:v>
      </x:c>
      <x:c r="AB347" s="16" t="n">
        <x:v>0</x:v>
      </x:c>
      <x:c r="AC347" s="16" t="n">
        <x:v>0</x:v>
      </x:c>
      <x:c r="AD347" s="1" t="b">
        <x:v>0</x:v>
      </x:c>
    </x:row>
    <x:row r="348">
      <x:c r="A348" t="str">
        <x:v>SYN-0347</x:v>
      </x:c>
      <x:c r="B348" s="12" t="n">
        <x:v>46246</x:v>
      </x:c>
      <x:c r="C348" t="str">
        <x:v>Synthetic Yad2-like Listing</x:v>
      </x:c>
      <x:c r="D348" t="str">
        <x:v>https://example.com/listings/SYN-0347</x:v>
      </x:c>
      <x:c r="E348" t="str">
        <x:v>Second Hand</x:v>
      </x:c>
      <x:c r="F348" t="str"/>
      <x:c r="G348" t="str"/>
      <x:c r="H348" t="str">
        <x:v>Mosenzon 156, Tel Aviv</x:v>
      </x:c>
      <x:c r="I348" t="str">
        <x:v>Tel Aviv</x:v>
      </x:c>
      <x:c r="J348" t="str">
        <x:v>Kikar HaMedina / New North</x:v>
      </x:c>
      <x:c r="K348" s="14" t="n">
        <x:v>0.82</x:v>
      </x:c>
      <x:c r="L348" t="str">
        <x:v>Apartment</x:v>
      </x:c>
      <x:c r="M348" t="n">
        <x:v>5</x:v>
      </x:c>
      <x:c r="N348" s="16" t="n">
        <x:v>119.9</x:v>
      </x:c>
      <x:c r="O348" t="n">
        <x:v>4</x:v>
      </x:c>
      <x:c r="P348" t="n">
        <x:v>8</x:v>
      </x:c>
      <x:c r="Q348" s="18" t="n">
        <x:v>7750000</x:v>
      </x:c>
      <x:c r="R348" s="18" t="n">
        <x:f>IFERROR(Q348/N348,"")</x:f>
        <x:v>64637.197664720596</x:v>
      </x:c>
      <x:c r="S348" t="n">
        <x:v>1979</x:v>
      </x:c>
      <x:c r="T348" t="n">
        <x:v>47</x:v>
      </x:c>
      <x:c r="U348" t="str">
        <x:v>Good</x:v>
      </x:c>
      <x:c r="V348" s="16" t="n">
        <x:v>0</x:v>
      </x:c>
      <x:c r="W348" t="str"/>
      <x:c r="X348" t="n">
        <x:v>1</x:v>
      </x:c>
      <x:c r="Y348" s="16" t="n">
        <x:v>3.3</x:v>
      </x:c>
      <x:c r="Z348" s="1" t="b">
        <x:v>1</x:v>
      </x:c>
      <x:c r="AA348" t="str">
        <x:v>North-South</x:v>
      </x:c>
      <x:c r="AB348" s="16" t="n">
        <x:v>0</x:v>
      </x:c>
      <x:c r="AC348" s="16" t="n">
        <x:v>0</x:v>
      </x:c>
      <x:c r="AD348" s="1" t="b">
        <x:v>0</x:v>
      </x:c>
    </x:row>
    <x:row r="349">
      <x:c r="A349" t="str">
        <x:v>SYN-0348</x:v>
      </x:c>
      <x:c r="B349" s="12" t="n">
        <x:v>46211</x:v>
      </x:c>
      <x:c r="C349" t="str">
        <x:v>Synthetic Yad2-like Listing</x:v>
      </x:c>
      <x:c r="D349" t="str">
        <x:v>https://example.com/listings/SYN-0348</x:v>
      </x:c>
      <x:c r="E349" t="str">
        <x:v>Second Hand</x:v>
      </x:c>
      <x:c r="F349" t="str"/>
      <x:c r="G349" t="str"/>
      <x:c r="H349" t="str">
        <x:v>Pinkas 7, Tel Aviv</x:v>
      </x:c>
      <x:c r="I349" t="str">
        <x:v>Tel Aviv</x:v>
      </x:c>
      <x:c r="J349" t="str">
        <x:v>Kikar HaMedina / New North</x:v>
      </x:c>
      <x:c r="K349" s="14" t="n">
        <x:v>0.36</x:v>
      </x:c>
      <x:c r="L349" t="str">
        <x:v>Apartment</x:v>
      </x:c>
      <x:c r="M349" t="n">
        <x:v>5</x:v>
      </x:c>
      <x:c r="N349" s="16" t="n">
        <x:v>120.5</x:v>
      </x:c>
      <x:c r="O349" t="n">
        <x:v>12</x:v>
      </x:c>
      <x:c r="P349" t="n">
        <x:v>17</x:v>
      </x:c>
      <x:c r="Q349" s="18" t="n">
        <x:v>8640000</x:v>
      </x:c>
      <x:c r="R349" s="18" t="n">
        <x:f>IFERROR(Q349/N349,"")</x:f>
        <x:v>71701.24481327801</x:v>
      </x:c>
      <x:c r="S349" t="n">
        <x:v>1977</x:v>
      </x:c>
      <x:c r="T349" t="n">
        <x:v>49</x:v>
      </x:c>
      <x:c r="U349" t="str">
        <x:v>Good</x:v>
      </x:c>
      <x:c r="V349" s="16" t="n">
        <x:v>13.6</x:v>
      </x:c>
      <x:c r="W349" t="str">
        <x:v>South-East</x:v>
      </x:c>
      <x:c r="X349" t="n">
        <x:v>2</x:v>
      </x:c>
      <x:c r="Y349" s="16" t="n">
        <x:v>0</x:v>
      </x:c>
      <x:c r="Z349" s="1" t="b">
        <x:v>1</x:v>
      </x:c>
      <x:c r="AA349" t="str">
        <x:v>South-East, North</x:v>
      </x:c>
      <x:c r="AB349" s="16" t="n">
        <x:v>0</x:v>
      </x:c>
      <x:c r="AC349" s="16" t="n">
        <x:v>0</x:v>
      </x:c>
      <x:c r="AD349" s="1" t="b">
        <x:v>0</x:v>
      </x:c>
    </x:row>
    <x:row r="350">
      <x:c r="A350" t="str">
        <x:v>SYN-0349</x:v>
      </x:c>
      <x:c r="B350" s="12" t="n">
        <x:v>46255</x:v>
      </x:c>
      <x:c r="C350" t="str">
        <x:v>Synthetic Yad2-like Listing</x:v>
      </x:c>
      <x:c r="D350" t="str">
        <x:v>https://example.com/listings/SYN-0349</x:v>
      </x:c>
      <x:c r="E350" t="str">
        <x:v>Second Hand</x:v>
      </x:c>
      <x:c r="F350" t="str"/>
      <x:c r="G350" t="str"/>
      <x:c r="H350" t="str">
        <x:v>Klay 53, Tel Aviv</x:v>
      </x:c>
      <x:c r="I350" t="str">
        <x:v>Tel Aviv</x:v>
      </x:c>
      <x:c r="J350" t="str">
        <x:v>Kikar HaMedina / New North</x:v>
      </x:c>
      <x:c r="K350" s="14" t="n">
        <x:v>0.61</x:v>
      </x:c>
      <x:c r="L350" t="str">
        <x:v>Apartment</x:v>
      </x:c>
      <x:c r="M350" t="n">
        <x:v>2</x:v>
      </x:c>
      <x:c r="N350" s="16" t="n">
        <x:v>59.4</x:v>
      </x:c>
      <x:c r="O350" t="n">
        <x:v>8</x:v>
      </x:c>
      <x:c r="P350" t="n">
        <x:v>18</x:v>
      </x:c>
      <x:c r="Q350" s="18" t="n">
        <x:v>4060000</x:v>
      </x:c>
      <x:c r="R350" s="18" t="n">
        <x:f>IFERROR(Q350/N350,"")</x:f>
        <x:v>68350.16835016836</x:v>
      </x:c>
      <x:c r="S350" t="n">
        <x:v>1961</x:v>
      </x:c>
      <x:c r="T350" t="n">
        <x:v>65</x:v>
      </x:c>
      <x:c r="U350" t="str">
        <x:v>Renovated</x:v>
      </x:c>
      <x:c r="V350" s="16" t="n">
        <x:v>0</x:v>
      </x:c>
      <x:c r="W350" t="str"/>
      <x:c r="X350" t="n">
        <x:v>1</x:v>
      </x:c>
      <x:c r="Y350" s="16" t="n">
        <x:v>0</x:v>
      </x:c>
      <x:c r="Z350" s="1" t="b">
        <x:v>1</x:v>
      </x:c>
      <x:c r="AA350" t="str">
        <x:v>North-South</x:v>
      </x:c>
      <x:c r="AB350" s="16" t="n">
        <x:v>0</x:v>
      </x:c>
      <x:c r="AC350" s="16" t="n">
        <x:v>0</x:v>
      </x:c>
      <x:c r="AD350" s="1" t="b">
        <x:v>0</x:v>
      </x:c>
    </x:row>
    <x:row r="351">
      <x:c r="A351" t="str">
        <x:v>SYN-0350</x:v>
      </x:c>
      <x:c r="B351" s="12" t="n">
        <x:v>46224</x:v>
      </x:c>
      <x:c r="C351" t="str">
        <x:v>Synthetic Yad2-like Listing</x:v>
      </x:c>
      <x:c r="D351" t="str">
        <x:v>https://example.com/listings/SYN-0350</x:v>
      </x:c>
      <x:c r="E351" t="str">
        <x:v>Second Hand</x:v>
      </x:c>
      <x:c r="F351" t="str"/>
      <x:c r="G351" t="str"/>
      <x:c r="H351" t="str">
        <x:v>Bavli 23, Tel Aviv</x:v>
      </x:c>
      <x:c r="I351" t="str">
        <x:v>Tel Aviv</x:v>
      </x:c>
      <x:c r="J351" t="str">
        <x:v>Kikar HaMedina / New North</x:v>
      </x:c>
      <x:c r="K351" s="14" t="n">
        <x:v>0.76</x:v>
      </x:c>
      <x:c r="L351" t="str">
        <x:v>Apartment</x:v>
      </x:c>
      <x:c r="M351" t="n">
        <x:v>3</x:v>
      </x:c>
      <x:c r="N351" s="16" t="n">
        <x:v>78.5</x:v>
      </x:c>
      <x:c r="O351" t="n">
        <x:v>7</x:v>
      </x:c>
      <x:c r="P351" t="n">
        <x:v>8</x:v>
      </x:c>
      <x:c r="Q351" s="18" t="n">
        <x:v>5570000</x:v>
      </x:c>
      <x:c r="R351" s="18" t="n">
        <x:f>IFERROR(Q351/N351,"")</x:f>
        <x:v>70955.41401273885</x:v>
      </x:c>
      <x:c r="S351" t="n">
        <x:v>1978</x:v>
      </x:c>
      <x:c r="T351" t="n">
        <x:v>48</x:v>
      </x:c>
      <x:c r="U351" t="str">
        <x:v>Renovated</x:v>
      </x:c>
      <x:c r="V351" s="16" t="n">
        <x:v>8.4</x:v>
      </x:c>
      <x:c r="W351" t="str">
        <x:v>North-West</x:v>
      </x:c>
      <x:c r="X351" t="n">
        <x:v>1</x:v>
      </x:c>
      <x:c r="Y351" s="16" t="n">
        <x:v>9.9</x:v>
      </x:c>
      <x:c r="Z351" s="1" t="b">
        <x:v>1</x:v>
      </x:c>
      <x:c r="AA351" t="str">
        <x:v>North-West, West</x:v>
      </x:c>
      <x:c r="AB351" s="16" t="n">
        <x:v>0</x:v>
      </x:c>
      <x:c r="AC351" s="16" t="n">
        <x:v>0</x:v>
      </x:c>
      <x:c r="AD351" s="1" t="b">
        <x:v>1</x:v>
      </x:c>
    </x:row>
    <x:row r="352">
      <x:c r="A352" t="str">
        <x:v>SYN-0351</x:v>
      </x:c>
      <x:c r="B352" s="12" t="n">
        <x:v>46244</x:v>
      </x:c>
      <x:c r="C352" t="str">
        <x:v>Synthetic New-Project Listing</x:v>
      </x:c>
      <x:c r="D352" t="str">
        <x:v>https://example.com/listings/SYN-0351</x:v>
      </x:c>
      <x:c r="E352" t="str">
        <x:v>New Project</x:v>
      </x:c>
      <x:c r="F352" t="str">
        <x:v>North TLV Living</x:v>
      </x:c>
      <x:c r="G352" t="str">
        <x:v>Sample Development D</x:v>
      </x:c>
      <x:c r="H352" t="str">
        <x:v>Klay 30, Tel Aviv</x:v>
      </x:c>
      <x:c r="I352" t="str">
        <x:v>Tel Aviv</x:v>
      </x:c>
      <x:c r="J352" t="str">
        <x:v>Kikar HaMedina / New North</x:v>
      </x:c>
      <x:c r="K352" s="14" t="n">
        <x:v>0.6</x:v>
      </x:c>
      <x:c r="L352" t="str">
        <x:v>Apartment</x:v>
      </x:c>
      <x:c r="M352" t="n">
        <x:v>4</x:v>
      </x:c>
      <x:c r="N352" s="16" t="n">
        <x:v>94</x:v>
      </x:c>
      <x:c r="O352" t="n">
        <x:v>1</x:v>
      </x:c>
      <x:c r="P352" t="n">
        <x:v>9</x:v>
      </x:c>
      <x:c r="Q352" s="18" t="n">
        <x:v>7100000</x:v>
      </x:c>
      <x:c r="R352" s="18" t="n">
        <x:f>IFERROR(Q352/N352,"")</x:f>
        <x:v>75531.91489361702</x:v>
      </x:c>
      <x:c r="S352" t="n">
        <x:v>2025</x:v>
      </x:c>
      <x:c r="T352" t="n">
        <x:v>1</x:v>
      </x:c>
      <x:c r="U352" t="str">
        <x:v>New</x:v>
      </x:c>
      <x:c r="V352" s="16" t="n">
        <x:v>12.1</x:v>
      </x:c>
      <x:c r="W352" t="str">
        <x:v>South</x:v>
      </x:c>
      <x:c r="X352" t="n">
        <x:v>1</x:v>
      </x:c>
      <x:c r="Y352" s="16" t="n">
        <x:v>7.2</x:v>
      </x:c>
      <x:c r="Z352" s="1" t="b">
        <x:v>1</x:v>
      </x:c>
      <x:c r="AA352" t="str">
        <x:v>South</x:v>
      </x:c>
      <x:c r="AB352" s="16" t="n">
        <x:v>0</x:v>
      </x:c>
      <x:c r="AC352" s="16" t="n">
        <x:v>0</x:v>
      </x:c>
      <x:c r="AD352" s="1" t="b">
        <x:v>0</x:v>
      </x:c>
    </x:row>
    <x:row r="353">
      <x:c r="A353" t="str">
        <x:v>SYN-0352</x:v>
      </x:c>
      <x:c r="B353" s="12" t="n">
        <x:v>46204</x:v>
      </x:c>
      <x:c r="C353" t="str">
        <x:v>Synthetic New-Project Listing</x:v>
      </x:c>
      <x:c r="D353" t="str">
        <x:v>https://example.com/listings/SYN-0352</x:v>
      </x:c>
      <x:c r="E353" t="str">
        <x:v>New Project</x:v>
      </x:c>
      <x:c r="F353" t="str">
        <x:v>Helsinki Gardens</x:v>
      </x:c>
      <x:c r="G353" t="str">
        <x:v>Sample Development C</x:v>
      </x:c>
      <x:c r="H353" t="str">
        <x:v>Klay 44, Tel Aviv</x:v>
      </x:c>
      <x:c r="I353" t="str">
        <x:v>Tel Aviv</x:v>
      </x:c>
      <x:c r="J353" t="str">
        <x:v>Kikar HaMedina / New North</x:v>
      </x:c>
      <x:c r="K353" s="14" t="n">
        <x:v>0.52</x:v>
      </x:c>
      <x:c r="L353" t="str">
        <x:v>Apartment</x:v>
      </x:c>
      <x:c r="M353" t="n">
        <x:v>5</x:v>
      </x:c>
      <x:c r="N353" s="16" t="n">
        <x:v>119</x:v>
      </x:c>
      <x:c r="O353" t="n">
        <x:v>9</x:v>
      </x:c>
      <x:c r="P353" t="n">
        <x:v>11</x:v>
      </x:c>
      <x:c r="Q353" s="18" t="n">
        <x:v>9730000</x:v>
      </x:c>
      <x:c r="R353" s="18" t="n">
        <x:f>IFERROR(Q353/N353,"")</x:f>
        <x:v>81764.70588235294</x:v>
      </x:c>
      <x:c r="S353" t="n">
        <x:v>2025</x:v>
      </x:c>
      <x:c r="T353" t="n">
        <x:v>1</x:v>
      </x:c>
      <x:c r="U353" t="str">
        <x:v>New</x:v>
      </x:c>
      <x:c r="V353" s="16" t="n">
        <x:v>15.3</x:v>
      </x:c>
      <x:c r="W353" t="str">
        <x:v>South-East</x:v>
      </x:c>
      <x:c r="X353" t="n">
        <x:v>1</x:v>
      </x:c>
      <x:c r="Y353" s="16" t="n">
        <x:v>8.5</x:v>
      </x:c>
      <x:c r="Z353" s="1" t="b">
        <x:v>1</x:v>
      </x:c>
      <x:c r="AA353" t="str">
        <x:v>South-East, South</x:v>
      </x:c>
      <x:c r="AB353" s="16" t="n">
        <x:v>0</x:v>
      </x:c>
      <x:c r="AC353" s="16" t="n">
        <x:v>0</x:v>
      </x:c>
      <x:c r="AD353" s="1" t="b">
        <x:v>0</x:v>
      </x:c>
    </x:row>
    <x:row r="354">
      <x:c r="A354" t="str">
        <x:v>SYN-0353</x:v>
      </x:c>
      <x:c r="B354" s="12" t="n">
        <x:v>46248</x:v>
      </x:c>
      <x:c r="C354" t="str">
        <x:v>Synthetic Yad2-like Listing</x:v>
      </x:c>
      <x:c r="D354" t="str">
        <x:v>https://example.com/listings/SYN-0353</x:v>
      </x:c>
      <x:c r="E354" t="str">
        <x:v>Second Hand</x:v>
      </x:c>
      <x:c r="F354" t="str"/>
      <x:c r="G354" t="str"/>
      <x:c r="H354" t="str">
        <x:v>Jabotinsky 12, Tel Aviv</x:v>
      </x:c>
      <x:c r="I354" t="str">
        <x:v>Tel Aviv</x:v>
      </x:c>
      <x:c r="J354" t="str">
        <x:v>Kikar HaMedina / New North</x:v>
      </x:c>
      <x:c r="K354" s="14" t="n">
        <x:v>0.47</x:v>
      </x:c>
      <x:c r="L354" t="str">
        <x:v>Duplex</x:v>
      </x:c>
      <x:c r="M354" t="n">
        <x:v>5</x:v>
      </x:c>
      <x:c r="N354" s="16" t="n">
        <x:v>128.1</x:v>
      </x:c>
      <x:c r="O354" t="n">
        <x:v>10</x:v>
      </x:c>
      <x:c r="P354" t="n">
        <x:v>13</x:v>
      </x:c>
      <x:c r="Q354" s="18" t="n">
        <x:v>8470000</x:v>
      </x:c>
      <x:c r="R354" s="18" t="n">
        <x:f>IFERROR(Q354/N354,"")</x:f>
        <x:v>66120.21857923498</x:v>
      </x:c>
      <x:c r="S354" t="n">
        <x:v>1982</x:v>
      </x:c>
      <x:c r="T354" t="n">
        <x:v>44</x:v>
      </x:c>
      <x:c r="U354" t="str">
        <x:v>Good</x:v>
      </x:c>
      <x:c r="V354" s="16" t="n">
        <x:v>0</x:v>
      </x:c>
      <x:c r="W354" t="str"/>
      <x:c r="X354" t="n">
        <x:v>1</x:v>
      </x:c>
      <x:c r="Y354" s="16" t="n">
        <x:v>0</x:v>
      </x:c>
      <x:c r="Z354" s="1" t="b">
        <x:v>1</x:v>
      </x:c>
      <x:c r="AA354" t="str">
        <x:v>South-East</x:v>
      </x:c>
      <x:c r="AB354" s="16" t="n">
        <x:v>0</x:v>
      </x:c>
      <x:c r="AC354" s="16" t="n">
        <x:v>0</x:v>
      </x:c>
      <x:c r="AD354" s="1" t="b">
        <x:v>0</x:v>
      </x:c>
    </x:row>
    <x:row r="355">
      <x:c r="A355" t="str">
        <x:v>SYN-0354</x:v>
      </x:c>
      <x:c r="B355" s="12" t="n">
        <x:v>46248</x:v>
      </x:c>
      <x:c r="C355" t="str">
        <x:v>Synthetic New-Project Listing</x:v>
      </x:c>
      <x:c r="D355" t="str">
        <x:v>https://example.com/listings/SYN-0354</x:v>
      </x:c>
      <x:c r="E355" t="str">
        <x:v>New Project</x:v>
      </x:c>
      <x:c r="F355" t="str">
        <x:v>North TLV Living</x:v>
      </x:c>
      <x:c r="G355" t="str">
        <x:v>Sample Development D</x:v>
      </x:c>
      <x:c r="H355" t="str">
        <x:v>Bavli 63, Tel Aviv</x:v>
      </x:c>
      <x:c r="I355" t="str">
        <x:v>Tel Aviv</x:v>
      </x:c>
      <x:c r="J355" t="str">
        <x:v>Kikar HaMedina / New North</x:v>
      </x:c>
      <x:c r="K355" s="14" t="n">
        <x:v>0.7</x:v>
      </x:c>
      <x:c r="L355" t="str">
        <x:v>Apartment</x:v>
      </x:c>
      <x:c r="M355" t="n">
        <x:v>2</x:v>
      </x:c>
      <x:c r="N355" s="16" t="n">
        <x:v>53.8</x:v>
      </x:c>
      <x:c r="O355" t="n">
        <x:v>4</x:v>
      </x:c>
      <x:c r="P355" t="n">
        <x:v>11</x:v>
      </x:c>
      <x:c r="Q355" s="18" t="n">
        <x:v>4560000</x:v>
      </x:c>
      <x:c r="R355" s="18" t="n">
        <x:f>IFERROR(Q355/N355,"")</x:f>
        <x:v>84758.36431226766</x:v>
      </x:c>
      <x:c r="S355" t="n">
        <x:v>2027</x:v>
      </x:c>
      <x:c r="T355" t="n">
        <x:v>0</x:v>
      </x:c>
      <x:c r="U355" t="str">
        <x:v>New</x:v>
      </x:c>
      <x:c r="V355" s="16" t="n">
        <x:v>20.8</x:v>
      </x:c>
      <x:c r="W355" t="str">
        <x:v>North-West</x:v>
      </x:c>
      <x:c r="X355" t="n">
        <x:v>1</x:v>
      </x:c>
      <x:c r="Y355" s="16" t="n">
        <x:v>0</x:v>
      </x:c>
      <x:c r="Z355" s="1" t="b">
        <x:v>1</x:v>
      </x:c>
      <x:c r="AA355" t="str">
        <x:v>North-West</x:v>
      </x:c>
      <x:c r="AB355" s="16" t="n">
        <x:v>0</x:v>
      </x:c>
      <x:c r="AC355" s="16" t="n">
        <x:v>0</x:v>
      </x:c>
      <x:c r="AD355" s="1" t="b">
        <x:v>0</x:v>
      </x:c>
    </x:row>
    <x:row r="356">
      <x:c r="A356" t="str">
        <x:v>SYN-0355</x:v>
      </x:c>
      <x:c r="B356" s="12" t="n">
        <x:v>46228</x:v>
      </x:c>
      <x:c r="C356" t="str">
        <x:v>Synthetic New-Project Listing</x:v>
      </x:c>
      <x:c r="D356" t="str">
        <x:v>https://example.com/listings/SYN-0355</x:v>
      </x:c>
      <x:c r="E356" t="str">
        <x:v>New Project</x:v>
      </x:c>
      <x:c r="F356" t="str">
        <x:v>Kikar Residence</x:v>
      </x:c>
      <x:c r="G356" t="str">
        <x:v>Sample Development A</x:v>
      </x:c>
      <x:c r="H356" t="str">
        <x:v>Klay 172, Tel Aviv</x:v>
      </x:c>
      <x:c r="I356" t="str">
        <x:v>Tel Aviv</x:v>
      </x:c>
      <x:c r="J356" t="str">
        <x:v>Kikar HaMedina / New North</x:v>
      </x:c>
      <x:c r="K356" s="14" t="n">
        <x:v>0.75</x:v>
      </x:c>
      <x:c r="L356" t="str">
        <x:v>Garden Apartment</x:v>
      </x:c>
      <x:c r="M356" t="n">
        <x:v>5</x:v>
      </x:c>
      <x:c r="N356" s="16" t="n">
        <x:v>127.8</x:v>
      </x:c>
      <x:c r="O356" t="n">
        <x:v>0</x:v>
      </x:c>
      <x:c r="P356" t="n">
        <x:v>18</x:v>
      </x:c>
      <x:c r="Q356" s="18" t="n">
        <x:v>11530000</x:v>
      </x:c>
      <x:c r="R356" s="18" t="n">
        <x:f>IFERROR(Q356/N356,"")</x:f>
        <x:v>90219.09233176839</x:v>
      </x:c>
      <x:c r="S356" t="n">
        <x:v>2027</x:v>
      </x:c>
      <x:c r="T356" t="n">
        <x:v>0</x:v>
      </x:c>
      <x:c r="U356" t="str">
        <x:v>New</x:v>
      </x:c>
      <x:c r="V356" s="16" t="n">
        <x:v>80.3</x:v>
      </x:c>
      <x:c r="W356" t="str">
        <x:v>South-West</x:v>
      </x:c>
      <x:c r="X356" t="n">
        <x:v>1</x:v>
      </x:c>
      <x:c r="Y356" s="16" t="n">
        <x:v>0</x:v>
      </x:c>
      <x:c r="Z356" s="1" t="b">
        <x:v>1</x:v>
      </x:c>
      <x:c r="AA356" t="str">
        <x:v>South-West, North</x:v>
      </x:c>
      <x:c r="AB356" s="16" t="n">
        <x:v>114.7</x:v>
      </x:c>
      <x:c r="AC356" s="16" t="n">
        <x:v>0</x:v>
      </x:c>
      <x:c r="AD356" s="1" t="b">
        <x:v>0</x:v>
      </x:c>
    </x:row>
    <x:row r="357">
      <x:c r="A357" t="str">
        <x:v>SYN-0356</x:v>
      </x:c>
      <x:c r="B357" s="12" t="n">
        <x:v>46221</x:v>
      </x:c>
      <x:c r="C357" t="str">
        <x:v>Synthetic New-Project Listing</x:v>
      </x:c>
      <x:c r="D357" t="str">
        <x:v>https://example.com/listings/SYN-0356</x:v>
      </x:c>
      <x:c r="E357" t="str">
        <x:v>New Project</x:v>
      </x:c>
      <x:c r="F357" t="str">
        <x:v>Kikar Residence</x:v>
      </x:c>
      <x:c r="G357" t="str">
        <x:v>Sample Development A</x:v>
      </x:c>
      <x:c r="H357" t="str">
        <x:v>Epstein 161, Tel Aviv</x:v>
      </x:c>
      <x:c r="I357" t="str">
        <x:v>Tel Aviv</x:v>
      </x:c>
      <x:c r="J357" t="str">
        <x:v>Kikar HaMedina / New North</x:v>
      </x:c>
      <x:c r="K357" s="14" t="n">
        <x:v>0.88</x:v>
      </x:c>
      <x:c r="L357" t="str">
        <x:v>Apartment</x:v>
      </x:c>
      <x:c r="M357" t="n">
        <x:v>4</x:v>
      </x:c>
      <x:c r="N357" s="16" t="n">
        <x:v>101.9</x:v>
      </x:c>
      <x:c r="O357" t="n">
        <x:v>0</x:v>
      </x:c>
      <x:c r="P357" t="n">
        <x:v>5</x:v>
      </x:c>
      <x:c r="Q357" s="18" t="n">
        <x:v>7700000</x:v>
      </x:c>
      <x:c r="R357" s="18" t="n">
        <x:f>IFERROR(Q357/N357,"")</x:f>
        <x:v>75564.27870461236</x:v>
      </x:c>
      <x:c r="S357" t="n">
        <x:v>2025</x:v>
      </x:c>
      <x:c r="T357" t="n">
        <x:v>1</x:v>
      </x:c>
      <x:c r="U357" t="str">
        <x:v>New</x:v>
      </x:c>
      <x:c r="V357" s="16" t="n">
        <x:v>11.5</x:v>
      </x:c>
      <x:c r="W357" t="str">
        <x:v>North</x:v>
      </x:c>
      <x:c r="X357" t="n">
        <x:v>1</x:v>
      </x:c>
      <x:c r="Y357" s="16" t="n">
        <x:v>8</x:v>
      </x:c>
      <x:c r="Z357" s="1" t="b">
        <x:v>1</x:v>
      </x:c>
      <x:c r="AA357" t="str">
        <x:v>North</x:v>
      </x:c>
      <x:c r="AB357" s="16" t="n">
        <x:v>0</x:v>
      </x:c>
      <x:c r="AC357" s="16" t="n">
        <x:v>0</x:v>
      </x:c>
      <x:c r="AD357" s="1" t="b">
        <x:v>0</x:v>
      </x:c>
    </x:row>
    <x:row r="358">
      <x:c r="A358" t="str">
        <x:v>SYN-0357</x:v>
      </x:c>
      <x:c r="B358" s="12" t="n">
        <x:v>46254</x:v>
      </x:c>
      <x:c r="C358" t="str">
        <x:v>Synthetic Yad2-like Listing</x:v>
      </x:c>
      <x:c r="D358" t="str">
        <x:v>https://example.com/listings/SYN-0357</x:v>
      </x:c>
      <x:c r="E358" t="str">
        <x:v>Second Hand</x:v>
      </x:c>
      <x:c r="F358" t="str"/>
      <x:c r="G358" t="str"/>
      <x:c r="H358" t="str">
        <x:v>Weizmann 33, Tel Aviv</x:v>
      </x:c>
      <x:c r="I358" t="str">
        <x:v>Tel Aviv</x:v>
      </x:c>
      <x:c r="J358" t="str">
        <x:v>Kikar HaMedina / New North</x:v>
      </x:c>
      <x:c r="K358" s="14" t="n">
        <x:v>0.14</x:v>
      </x:c>
      <x:c r="L358" t="str">
        <x:v>Apartment</x:v>
      </x:c>
      <x:c r="M358" t="n">
        <x:v>4</x:v>
      </x:c>
      <x:c r="N358" s="16" t="n">
        <x:v>100.1</x:v>
      </x:c>
      <x:c r="O358" t="n">
        <x:v>0</x:v>
      </x:c>
      <x:c r="P358" t="n">
        <x:v>7</x:v>
      </x:c>
      <x:c r="Q358" s="18" t="n">
        <x:v>7030000</x:v>
      </x:c>
      <x:c r="R358" s="18" t="n">
        <x:f>IFERROR(Q358/N358,"")</x:f>
        <x:v>70229.77022977023</x:v>
      </x:c>
      <x:c r="S358" t="n">
        <x:v>1998</x:v>
      </x:c>
      <x:c r="T358" t="n">
        <x:v>28</x:v>
      </x:c>
      <x:c r="U358" t="str">
        <x:v>Good</x:v>
      </x:c>
      <x:c r="V358" s="16" t="n">
        <x:v>12.4</x:v>
      </x:c>
      <x:c r="W358" t="str">
        <x:v>South-West</x:v>
      </x:c>
      <x:c r="X358" t="n">
        <x:v>1</x:v>
      </x:c>
      <x:c r="Y358" s="16" t="n">
        <x:v>8.2</x:v>
      </x:c>
      <x:c r="Z358" s="1" t="b">
        <x:v>1</x:v>
      </x:c>
      <x:c r="AA358" t="str">
        <x:v>South-West, North</x:v>
      </x:c>
      <x:c r="AB358" s="16" t="n">
        <x:v>0</x:v>
      </x:c>
      <x:c r="AC358" s="16" t="n">
        <x:v>0</x:v>
      </x:c>
      <x:c r="AD358" s="1" t="b">
        <x:v>0</x:v>
      </x:c>
    </x:row>
    <x:row r="359">
      <x:c r="A359" t="str">
        <x:v>SYN-0358</x:v>
      </x:c>
      <x:c r="B359" s="12" t="n">
        <x:v>46250</x:v>
      </x:c>
      <x:c r="C359" t="str">
        <x:v>Synthetic New-Project Listing</x:v>
      </x:c>
      <x:c r="D359" t="str">
        <x:v>https://example.com/listings/SYN-0358</x:v>
      </x:c>
      <x:c r="E359" t="str">
        <x:v>New Project</x:v>
      </x:c>
      <x:c r="F359" t="str">
        <x:v>North TLV Living</x:v>
      </x:c>
      <x:c r="G359" t="str">
        <x:v>Sample Development D</x:v>
      </x:c>
      <x:c r="H359" t="str">
        <x:v>Biltmore 71, Tel Aviv</x:v>
      </x:c>
      <x:c r="I359" t="str">
        <x:v>Tel Aviv</x:v>
      </x:c>
      <x:c r="J359" t="str">
        <x:v>Kikar HaMedina / New North</x:v>
      </x:c>
      <x:c r="K359" s="14" t="n">
        <x:v>0.83</x:v>
      </x:c>
      <x:c r="L359" t="str">
        <x:v>Apartment</x:v>
      </x:c>
      <x:c r="M359" t="n">
        <x:v>5</x:v>
      </x:c>
      <x:c r="N359" s="16" t="n">
        <x:v>112.6</x:v>
      </x:c>
      <x:c r="O359" t="n">
        <x:v>11</x:v>
      </x:c>
      <x:c r="P359" t="n">
        <x:v>17</x:v>
      </x:c>
      <x:c r="Q359" s="18" t="n">
        <x:v>8720000</x:v>
      </x:c>
      <x:c r="R359" s="18" t="n">
        <x:f>IFERROR(Q359/N359,"")</x:f>
        <x:v>77442.27353463588</x:v>
      </x:c>
      <x:c r="S359" t="n">
        <x:v>2026</x:v>
      </x:c>
      <x:c r="T359" t="n">
        <x:v>0</x:v>
      </x:c>
      <x:c r="U359" t="str">
        <x:v>New</x:v>
      </x:c>
      <x:c r="V359" s="16" t="n">
        <x:v>21.4</x:v>
      </x:c>
      <x:c r="W359" t="str">
        <x:v>South-West</x:v>
      </x:c>
      <x:c r="X359" t="n">
        <x:v>1</x:v>
      </x:c>
      <x:c r="Y359" s="16" t="n">
        <x:v>7.6</x:v>
      </x:c>
      <x:c r="Z359" s="1" t="b">
        <x:v>1</x:v>
      </x:c>
      <x:c r="AA359" t="str">
        <x:v>South-West</x:v>
      </x:c>
      <x:c r="AB359" s="16" t="n">
        <x:v>0</x:v>
      </x:c>
      <x:c r="AC359" s="16" t="n">
        <x:v>0</x:v>
      </x:c>
      <x:c r="AD359" s="1" t="b">
        <x:v>0</x:v>
      </x:c>
    </x:row>
    <x:row r="360">
      <x:c r="A360" t="str">
        <x:v>SYN-0359</x:v>
      </x:c>
      <x:c r="B360" s="12" t="n">
        <x:v>46225</x:v>
      </x:c>
      <x:c r="C360" t="str">
        <x:v>Synthetic New-Project Listing</x:v>
      </x:c>
      <x:c r="D360" t="str">
        <x:v>https://example.com/listings/SYN-0359</x:v>
      </x:c>
      <x:c r="E360" t="str">
        <x:v>New Project</x:v>
      </x:c>
      <x:c r="F360" t="str">
        <x:v>Weizmann Urban</x:v>
      </x:c>
      <x:c r="G360" t="str">
        <x:v>Sample Development B</x:v>
      </x:c>
      <x:c r="H360" t="str">
        <x:v>Jabotinsky 161, Tel Aviv</x:v>
      </x:c>
      <x:c r="I360" t="str">
        <x:v>Tel Aviv</x:v>
      </x:c>
      <x:c r="J360" t="str">
        <x:v>Kikar HaMedina / New North</x:v>
      </x:c>
      <x:c r="K360" s="14" t="n">
        <x:v>0.59</x:v>
      </x:c>
      <x:c r="L360" t="str">
        <x:v>Duplex</x:v>
      </x:c>
      <x:c r="M360" t="n">
        <x:v>3</x:v>
      </x:c>
      <x:c r="N360" s="16" t="n">
        <x:v>74.7</x:v>
      </x:c>
      <x:c r="O360" t="n">
        <x:v>7</x:v>
      </x:c>
      <x:c r="P360" t="n">
        <x:v>13</x:v>
      </x:c>
      <x:c r="Q360" s="18" t="n">
        <x:v>6110000</x:v>
      </x:c>
      <x:c r="R360" s="18" t="n">
        <x:f>IFERROR(Q360/N360,"")</x:f>
        <x:v>81793.84203480589</x:v>
      </x:c>
      <x:c r="S360" t="n">
        <x:v>2025</x:v>
      </x:c>
      <x:c r="T360" t="n">
        <x:v>1</x:v>
      </x:c>
      <x:c r="U360" t="str">
        <x:v>New</x:v>
      </x:c>
      <x:c r="V360" s="16" t="n">
        <x:v>9.3</x:v>
      </x:c>
      <x:c r="W360" t="str">
        <x:v>North</x:v>
      </x:c>
      <x:c r="X360" t="n">
        <x:v>0</x:v>
      </x:c>
      <x:c r="Y360" s="16" t="n">
        <x:v>7.8</x:v>
      </x:c>
      <x:c r="Z360" s="1" t="b">
        <x:v>1</x:v>
      </x:c>
      <x:c r="AA360" t="str">
        <x:v>North, North</x:v>
      </x:c>
      <x:c r="AB360" s="16" t="n">
        <x:v>0</x:v>
      </x:c>
      <x:c r="AC360" s="16" t="n">
        <x:v>0</x:v>
      </x:c>
      <x:c r="AD360" s="1" t="b">
        <x:v>0</x:v>
      </x:c>
    </x:row>
    <x:row r="361">
      <x:c r="A361" t="str">
        <x:v>SYN-0360</x:v>
      </x:c>
      <x:c r="B361" s="12" t="n">
        <x:v>46248</x:v>
      </x:c>
      <x:c r="C361" t="str">
        <x:v>Synthetic Yad2-like Listing</x:v>
      </x:c>
      <x:c r="D361" t="str">
        <x:v>https://example.com/listings/SYN-0360</x:v>
      </x:c>
      <x:c r="E361" t="str">
        <x:v>Second Hand</x:v>
      </x:c>
      <x:c r="F361" t="str"/>
      <x:c r="G361" t="str"/>
      <x:c r="H361" t="str">
        <x:v>Weizmann 22, Tel Aviv</x:v>
      </x:c>
      <x:c r="I361" t="str">
        <x:v>Tel Aviv</x:v>
      </x:c>
      <x:c r="J361" t="str">
        <x:v>Kikar HaMedina / New North</x:v>
      </x:c>
      <x:c r="K361" s="14" t="n">
        <x:v>0.31</x:v>
      </x:c>
      <x:c r="L361" t="str">
        <x:v>Apartment</x:v>
      </x:c>
      <x:c r="M361" t="n">
        <x:v>3</x:v>
      </x:c>
      <x:c r="N361" s="16" t="n">
        <x:v>75.9</x:v>
      </x:c>
      <x:c r="O361" t="n">
        <x:v>5</x:v>
      </x:c>
      <x:c r="P361" t="n">
        <x:v>6</x:v>
      </x:c>
      <x:c r="Q361" s="18" t="n">
        <x:v>5340000</x:v>
      </x:c>
      <x:c r="R361" s="18" t="n">
        <x:f>IFERROR(Q361/N361,"")</x:f>
        <x:v>70355.73122529643</x:v>
      </x:c>
      <x:c r="S361" t="n">
        <x:v>2000</x:v>
      </x:c>
      <x:c r="T361" t="n">
        <x:v>26</x:v>
      </x:c>
      <x:c r="U361" t="str">
        <x:v>Good</x:v>
      </x:c>
      <x:c r="V361" s="16" t="n">
        <x:v>11.8</x:v>
      </x:c>
      <x:c r="W361" t="str">
        <x:v>South</x:v>
      </x:c>
      <x:c r="X361" t="n">
        <x:v>0</x:v>
      </x:c>
      <x:c r="Y361" s="16" t="n">
        <x:v>0</x:v>
      </x:c>
      <x:c r="Z361" s="1" t="b">
        <x:v>1</x:v>
      </x:c>
      <x:c r="AA361" t="str">
        <x:v>South, West</x:v>
      </x:c>
      <x:c r="AB361" s="16" t="n">
        <x:v>0</x:v>
      </x:c>
      <x:c r="AC361" s="16" t="n">
        <x:v>0</x:v>
      </x:c>
      <x:c r="AD361" s="1" t="b">
        <x:v>1</x:v>
      </x:c>
    </x:row>
    <x:row r="362">
      <x:c r="A362" t="str">
        <x:v>SYN-0361</x:v>
      </x:c>
      <x:c r="B362" s="12" t="n">
        <x:v>46210</x:v>
      </x:c>
      <x:c r="C362" t="str">
        <x:v>Synthetic New-Project Listing</x:v>
      </x:c>
      <x:c r="D362" t="str">
        <x:v>https://example.com/listings/SYN-0361</x:v>
      </x:c>
      <x:c r="E362" t="str">
        <x:v>New Project</x:v>
      </x:c>
      <x:c r="F362" t="str">
        <x:v>Medina Boutique</x:v>
      </x:c>
      <x:c r="G362" t="str">
        <x:v>Sample Development E</x:v>
      </x:c>
      <x:c r="H362" t="str">
        <x:v>Biltmore 169, Tel Aviv</x:v>
      </x:c>
      <x:c r="I362" t="str">
        <x:v>Tel Aviv</x:v>
      </x:c>
      <x:c r="J362" t="str">
        <x:v>Kikar HaMedina / New North</x:v>
      </x:c>
      <x:c r="K362" s="14" t="n">
        <x:v>0.91</x:v>
      </x:c>
      <x:c r="L362" t="str">
        <x:v>Apartment</x:v>
      </x:c>
      <x:c r="M362" t="n">
        <x:v>2</x:v>
      </x:c>
      <x:c r="N362" s="16" t="n">
        <x:v>58.9</x:v>
      </x:c>
      <x:c r="O362" t="n">
        <x:v>7</x:v>
      </x:c>
      <x:c r="P362" t="n">
        <x:v>8</x:v>
      </x:c>
      <x:c r="Q362" s="18" t="n">
        <x:v>4880000</x:v>
      </x:c>
      <x:c r="R362" s="18" t="n">
        <x:f>IFERROR(Q362/N362,"")</x:f>
        <x:v>82852.29202037351</x:v>
      </x:c>
      <x:c r="S362" t="n">
        <x:v>2025</x:v>
      </x:c>
      <x:c r="T362" t="n">
        <x:v>1</x:v>
      </x:c>
      <x:c r="U362" t="str">
        <x:v>New</x:v>
      </x:c>
      <x:c r="V362" s="16" t="n">
        <x:v>9.1</x:v>
      </x:c>
      <x:c r="W362" t="str">
        <x:v>North</x:v>
      </x:c>
      <x:c r="X362" t="n">
        <x:v>1</x:v>
      </x:c>
      <x:c r="Y362" s="16" t="n">
        <x:v>5.7</x:v>
      </x:c>
      <x:c r="Z362" s="1" t="b">
        <x:v>1</x:v>
      </x:c>
      <x:c r="AA362" t="str">
        <x:v>North, West</x:v>
      </x:c>
      <x:c r="AB362" s="16" t="n">
        <x:v>0</x:v>
      </x:c>
      <x:c r="AC362" s="16" t="n">
        <x:v>0</x:v>
      </x:c>
      <x:c r="AD362" s="1" t="b">
        <x:v>1</x:v>
      </x:c>
    </x:row>
    <x:row r="363">
      <x:c r="A363" t="str">
        <x:v>SYN-0362</x:v>
      </x:c>
      <x:c r="B363" s="12" t="n">
        <x:v>46207</x:v>
      </x:c>
      <x:c r="C363" t="str">
        <x:v>Synthetic New-Project Listing</x:v>
      </x:c>
      <x:c r="D363" t="str">
        <x:v>https://example.com/listings/SYN-0362</x:v>
      </x:c>
      <x:c r="E363" t="str">
        <x:v>New Project</x:v>
      </x:c>
      <x:c r="F363" t="str">
        <x:v>Medina Boutique</x:v>
      </x:c>
      <x:c r="G363" t="str">
        <x:v>Sample Development E</x:v>
      </x:c>
      <x:c r="H363" t="str">
        <x:v>Bavli 91, Tel Aviv</x:v>
      </x:c>
      <x:c r="I363" t="str">
        <x:v>Tel Aviv</x:v>
      </x:c>
      <x:c r="J363" t="str">
        <x:v>Kikar HaMedina / New North</x:v>
      </x:c>
      <x:c r="K363" s="14" t="n">
        <x:v>0.86</x:v>
      </x:c>
      <x:c r="L363" t="str">
        <x:v>Apartment</x:v>
      </x:c>
      <x:c r="M363" t="n">
        <x:v>5</x:v>
      </x:c>
      <x:c r="N363" s="16" t="n">
        <x:v>132.4</x:v>
      </x:c>
      <x:c r="O363" t="n">
        <x:v>7</x:v>
      </x:c>
      <x:c r="P363" t="n">
        <x:v>16</x:v>
      </x:c>
      <x:c r="Q363" s="18" t="n">
        <x:v>10400000</x:v>
      </x:c>
      <x:c r="R363" s="18" t="n">
        <x:f>IFERROR(Q363/N363,"")</x:f>
        <x:v>78549.84894259818</x:v>
      </x:c>
      <x:c r="S363" t="n">
        <x:v>2025</x:v>
      </x:c>
      <x:c r="T363" t="n">
        <x:v>1</x:v>
      </x:c>
      <x:c r="U363" t="str">
        <x:v>New</x:v>
      </x:c>
      <x:c r="V363" s="16" t="n">
        <x:v>10.5</x:v>
      </x:c>
      <x:c r="W363" t="str">
        <x:v>South</x:v>
      </x:c>
      <x:c r="X363" t="n">
        <x:v>1</x:v>
      </x:c>
      <x:c r="Y363" s="16" t="n">
        <x:v>0</x:v>
      </x:c>
      <x:c r="Z363" s="1" t="b">
        <x:v>1</x:v>
      </x:c>
      <x:c r="AA363" t="str">
        <x:v>South, West</x:v>
      </x:c>
      <x:c r="AB363" s="16" t="n">
        <x:v>0</x:v>
      </x:c>
      <x:c r="AC363" s="16" t="n">
        <x:v>0</x:v>
      </x:c>
      <x:c r="AD363" s="1" t="b">
        <x:v>0</x:v>
      </x:c>
    </x:row>
    <x:row r="364">
      <x:c r="A364" t="str">
        <x:v>SYN-0363</x:v>
      </x:c>
      <x:c r="B364" s="12" t="n">
        <x:v>46216</x:v>
      </x:c>
      <x:c r="C364" t="str">
        <x:v>Synthetic New-Project Listing</x:v>
      </x:c>
      <x:c r="D364" t="str">
        <x:v>https://example.com/listings/SYN-0363</x:v>
      </x:c>
      <x:c r="E364" t="str">
        <x:v>New Project</x:v>
      </x:c>
      <x:c r="F364" t="str">
        <x:v>Medina Boutique</x:v>
      </x:c>
      <x:c r="G364" t="str">
        <x:v>Sample Development E</x:v>
      </x:c>
      <x:c r="H364" t="str">
        <x:v>Epstein 61, Tel Aviv</x:v>
      </x:c>
      <x:c r="I364" t="str">
        <x:v>Tel Aviv</x:v>
      </x:c>
      <x:c r="J364" t="str">
        <x:v>Kikar HaMedina / New North</x:v>
      </x:c>
      <x:c r="K364" s="14" t="n">
        <x:v>0.83</x:v>
      </x:c>
      <x:c r="L364" t="str">
        <x:v>Apartment</x:v>
      </x:c>
      <x:c r="M364" t="n">
        <x:v>4</x:v>
      </x:c>
      <x:c r="N364" s="16" t="n">
        <x:v>98.3</x:v>
      </x:c>
      <x:c r="O364" t="n">
        <x:v>10</x:v>
      </x:c>
      <x:c r="P364" t="n">
        <x:v>16</x:v>
      </x:c>
      <x:c r="Q364" s="18" t="n">
        <x:v>7960000</x:v>
      </x:c>
      <x:c r="R364" s="18" t="n">
        <x:f>IFERROR(Q364/N364,"")</x:f>
        <x:v>80976.60223804679</x:v>
      </x:c>
      <x:c r="S364" t="n">
        <x:v>2025</x:v>
      </x:c>
      <x:c r="T364" t="n">
        <x:v>1</x:v>
      </x:c>
      <x:c r="U364" t="str">
        <x:v>New</x:v>
      </x:c>
      <x:c r="V364" s="16" t="n">
        <x:v>20.4</x:v>
      </x:c>
      <x:c r="W364" t="str">
        <x:v>East</x:v>
      </x:c>
      <x:c r="X364" t="n">
        <x:v>1</x:v>
      </x:c>
      <x:c r="Y364" s="16" t="n">
        <x:v>5</x:v>
      </x:c>
      <x:c r="Z364" s="1" t="b">
        <x:v>1</x:v>
      </x:c>
      <x:c r="AA364" t="str">
        <x:v>East</x:v>
      </x:c>
      <x:c r="AB364" s="16" t="n">
        <x:v>0</x:v>
      </x:c>
      <x:c r="AC364" s="16" t="n">
        <x:v>0</x:v>
      </x:c>
      <x:c r="AD364" s="1" t="b">
        <x:v>0</x:v>
      </x:c>
    </x:row>
    <x:row r="365">
      <x:c r="A365" t="str">
        <x:v>SYN-0364</x:v>
      </x:c>
      <x:c r="B365" s="12" t="n">
        <x:v>46206</x:v>
      </x:c>
      <x:c r="C365" t="str">
        <x:v>Synthetic Yad2-like Listing</x:v>
      </x:c>
      <x:c r="D365" t="str">
        <x:v>https://example.com/listings/SYN-0364</x:v>
      </x:c>
      <x:c r="E365" t="str">
        <x:v>Second Hand</x:v>
      </x:c>
      <x:c r="F365" t="str"/>
      <x:c r="G365" t="str"/>
      <x:c r="H365" t="str">
        <x:v>Epstein 77, Tel Aviv</x:v>
      </x:c>
      <x:c r="I365" t="str">
        <x:v>Tel Aviv</x:v>
      </x:c>
      <x:c r="J365" t="str">
        <x:v>Kikar HaMedina / New North</x:v>
      </x:c>
      <x:c r="K365" s="14" t="n">
        <x:v>0.81</x:v>
      </x:c>
      <x:c r="L365" t="str">
        <x:v>Apartment</x:v>
      </x:c>
      <x:c r="M365" t="n">
        <x:v>3</x:v>
      </x:c>
      <x:c r="N365" s="16" t="n">
        <x:v>66.6</x:v>
      </x:c>
      <x:c r="O365" t="n">
        <x:v>3</x:v>
      </x:c>
      <x:c r="P365" t="n">
        <x:v>14</x:v>
      </x:c>
      <x:c r="Q365" s="18" t="n">
        <x:v>4190000</x:v>
      </x:c>
      <x:c r="R365" s="18" t="n">
        <x:f>IFERROR(Q365/N365,"")</x:f>
        <x:v>62912.91291291292</x:v>
      </x:c>
      <x:c r="S365" t="n">
        <x:v>1996</x:v>
      </x:c>
      <x:c r="T365" t="n">
        <x:v>30</x:v>
      </x:c>
      <x:c r="U365" t="str">
        <x:v>Needs Renovation</x:v>
      </x:c>
      <x:c r="V365" s="16" t="n">
        <x:v>0</x:v>
      </x:c>
      <x:c r="W365" t="str"/>
      <x:c r="X365" t="n">
        <x:v>1</x:v>
      </x:c>
      <x:c r="Y365" s="16" t="n">
        <x:v>0</x:v>
      </x:c>
      <x:c r="Z365" s="1" t="b">
        <x:v>1</x:v>
      </x:c>
      <x:c r="AA365" t="str">
        <x:v>North-East</x:v>
      </x:c>
      <x:c r="AB365" s="16" t="n">
        <x:v>0</x:v>
      </x:c>
      <x:c r="AC365" s="16" t="n">
        <x:v>0</x:v>
      </x:c>
      <x:c r="AD365" s="1" t="b">
        <x:v>0</x:v>
      </x:c>
    </x:row>
    <x:row r="366">
      <x:c r="A366" t="str">
        <x:v>SYN-0365</x:v>
      </x:c>
      <x:c r="B366" s="12" t="n">
        <x:v>46205</x:v>
      </x:c>
      <x:c r="C366" t="str">
        <x:v>Synthetic Yad2-like Listing</x:v>
      </x:c>
      <x:c r="D366" t="str">
        <x:v>https://example.com/listings/SYN-0365</x:v>
      </x:c>
      <x:c r="E366" t="str">
        <x:v>Second Hand</x:v>
      </x:c>
      <x:c r="F366" t="str"/>
      <x:c r="G366" t="str"/>
      <x:c r="H366" t="str">
        <x:v>Helsinki 113, Tel Aviv</x:v>
      </x:c>
      <x:c r="I366" t="str">
        <x:v>Tel Aviv</x:v>
      </x:c>
      <x:c r="J366" t="str">
        <x:v>Kikar HaMedina / New North</x:v>
      </x:c>
      <x:c r="K366" s="14" t="n">
        <x:v>0.06</x:v>
      </x:c>
      <x:c r="L366" t="str">
        <x:v>Apartment</x:v>
      </x:c>
      <x:c r="M366" t="n">
        <x:v>5</x:v>
      </x:c>
      <x:c r="N366" s="16" t="n">
        <x:v>128.6</x:v>
      </x:c>
      <x:c r="O366" t="n">
        <x:v>11</x:v>
      </x:c>
      <x:c r="P366" t="n">
        <x:v>13</x:v>
      </x:c>
      <x:c r="Q366" s="18" t="n">
        <x:v>8630000</x:v>
      </x:c>
      <x:c r="R366" s="18" t="n">
        <x:f>IFERROR(Q366/N366,"")</x:f>
        <x:v>67107.30948678072</x:v>
      </x:c>
      <x:c r="S366" t="n">
        <x:v>1960</x:v>
      </x:c>
      <x:c r="T366" t="n">
        <x:v>66</x:v>
      </x:c>
      <x:c r="U366" t="str">
        <x:v>Renovated</x:v>
      </x:c>
      <x:c r="V366" s="16" t="n">
        <x:v>26.4</x:v>
      </x:c>
      <x:c r="W366" t="str">
        <x:v>North-West</x:v>
      </x:c>
      <x:c r="X366" t="n">
        <x:v>0</x:v>
      </x:c>
      <x:c r="Y366" s="16" t="n">
        <x:v>8.8</x:v>
      </x:c>
      <x:c r="Z366" s="1" t="b">
        <x:v>1</x:v>
      </x:c>
      <x:c r="AA366" t="str">
        <x:v>North-West, West</x:v>
      </x:c>
      <x:c r="AB366" s="16" t="n">
        <x:v>0</x:v>
      </x:c>
      <x:c r="AC366" s="16" t="n">
        <x:v>0</x:v>
      </x:c>
      <x:c r="AD366" s="1" t="b">
        <x:v>0</x:v>
      </x:c>
    </x:row>
    <x:row r="367">
      <x:c r="A367" t="str">
        <x:v>SYN-0366</x:v>
      </x:c>
      <x:c r="B367" s="12" t="n">
        <x:v>46227</x:v>
      </x:c>
      <x:c r="C367" t="str">
        <x:v>Synthetic New-Project Listing</x:v>
      </x:c>
      <x:c r="D367" t="str">
        <x:v>https://example.com/listings/SYN-0366</x:v>
      </x:c>
      <x:c r="E367" t="str">
        <x:v>New Project</x:v>
      </x:c>
      <x:c r="F367" t="str">
        <x:v>Kikar Residence</x:v>
      </x:c>
      <x:c r="G367" t="str">
        <x:v>Sample Development A</x:v>
      </x:c>
      <x:c r="H367" t="str">
        <x:v>Pinkas 98, Tel Aviv</x:v>
      </x:c>
      <x:c r="I367" t="str">
        <x:v>Tel Aviv</x:v>
      </x:c>
      <x:c r="J367" t="str">
        <x:v>Kikar HaMedina / New North</x:v>
      </x:c>
      <x:c r="K367" s="14" t="n">
        <x:v>0.44</x:v>
      </x:c>
      <x:c r="L367" t="str">
        <x:v>Apartment</x:v>
      </x:c>
      <x:c r="M367" t="n">
        <x:v>3</x:v>
      </x:c>
      <x:c r="N367" s="16" t="n">
        <x:v>70</x:v>
      </x:c>
      <x:c r="O367" t="n">
        <x:v>4</x:v>
      </x:c>
      <x:c r="P367" t="n">
        <x:v>16</x:v>
      </x:c>
      <x:c r="Q367" s="18" t="n">
        <x:v>5720000</x:v>
      </x:c>
      <x:c r="R367" s="18" t="n">
        <x:f>IFERROR(Q367/N367,"")</x:f>
        <x:v>81714.28571428571</x:v>
      </x:c>
      <x:c r="S367" t="n">
        <x:v>2025</x:v>
      </x:c>
      <x:c r="T367" t="n">
        <x:v>1</x:v>
      </x:c>
      <x:c r="U367" t="str">
        <x:v>New</x:v>
      </x:c>
      <x:c r="V367" s="16" t="n">
        <x:v>11.9</x:v>
      </x:c>
      <x:c r="W367" t="str">
        <x:v>West</x:v>
      </x:c>
      <x:c r="X367" t="n">
        <x:v>1</x:v>
      </x:c>
      <x:c r="Y367" s="16" t="n">
        <x:v>0</x:v>
      </x:c>
      <x:c r="Z367" s="1" t="b">
        <x:v>1</x:v>
      </x:c>
      <x:c r="AA367" t="str">
        <x:v>West, East</x:v>
      </x:c>
      <x:c r="AB367" s="16" t="n">
        <x:v>0</x:v>
      </x:c>
      <x:c r="AC367" s="16" t="n">
        <x:v>0</x:v>
      </x:c>
      <x:c r="AD367" s="1" t="b">
        <x:v>0</x:v>
      </x:c>
    </x:row>
    <x:row r="368">
      <x:c r="A368" t="str">
        <x:v>SYN-0367</x:v>
      </x:c>
      <x:c r="B368" s="12" t="n">
        <x:v>46238</x:v>
      </x:c>
      <x:c r="C368" t="str">
        <x:v>Synthetic Yad2-like Listing</x:v>
      </x:c>
      <x:c r="D368" t="str">
        <x:v>https://example.com/listings/SYN-0367</x:v>
      </x:c>
      <x:c r="E368" t="str">
        <x:v>Second Hand</x:v>
      </x:c>
      <x:c r="F368" t="str"/>
      <x:c r="G368" t="str"/>
      <x:c r="H368" t="str">
        <x:v>Mosenzon 163, Tel Aviv</x:v>
      </x:c>
      <x:c r="I368" t="str">
        <x:v>Tel Aviv</x:v>
      </x:c>
      <x:c r="J368" t="str">
        <x:v>Kikar HaMedina / New North</x:v>
      </x:c>
      <x:c r="K368" s="14" t="n">
        <x:v>0.76</x:v>
      </x:c>
      <x:c r="L368" t="str">
        <x:v>Apartment</x:v>
      </x:c>
      <x:c r="M368" t="n">
        <x:v>4</x:v>
      </x:c>
      <x:c r="N368" s="16" t="n">
        <x:v>106.8</x:v>
      </x:c>
      <x:c r="O368" t="n">
        <x:v>12</x:v>
      </x:c>
      <x:c r="P368" t="n">
        <x:v>17</x:v>
      </x:c>
      <x:c r="Q368" s="18" t="n">
        <x:v>6790000</x:v>
      </x:c>
      <x:c r="R368" s="18" t="n">
        <x:f>IFERROR(Q368/N368,"")</x:f>
        <x:v>63576.77902621723</x:v>
      </x:c>
      <x:c r="S368" t="n">
        <x:v>1972</x:v>
      </x:c>
      <x:c r="T368" t="n">
        <x:v>54</x:v>
      </x:c>
      <x:c r="U368" t="str">
        <x:v>Good</x:v>
      </x:c>
      <x:c r="V368" s="16" t="n">
        <x:v>0</x:v>
      </x:c>
      <x:c r="W368" t="str"/>
      <x:c r="X368" t="n">
        <x:v>1</x:v>
      </x:c>
      <x:c r="Y368" s="16" t="n">
        <x:v>9.5</x:v>
      </x:c>
      <x:c r="Z368" s="1" t="b">
        <x:v>1</x:v>
      </x:c>
      <x:c r="AA368" t="str">
        <x:v>South</x:v>
      </x:c>
      <x:c r="AB368" s="16" t="n">
        <x:v>0</x:v>
      </x:c>
      <x:c r="AC368" s="16" t="n">
        <x:v>0</x:v>
      </x:c>
      <x:c r="AD368" s="1" t="b">
        <x:v>0</x:v>
      </x:c>
    </x:row>
    <x:row r="369">
      <x:c r="A369" t="str">
        <x:v>SYN-0368</x:v>
      </x:c>
      <x:c r="B369" s="12" t="n">
        <x:v>46233</x:v>
      </x:c>
      <x:c r="C369" t="str">
        <x:v>Synthetic New-Project Listing</x:v>
      </x:c>
      <x:c r="D369" t="str">
        <x:v>https://example.com/listings/SYN-0368</x:v>
      </x:c>
      <x:c r="E369" t="str">
        <x:v>New Project</x:v>
      </x:c>
      <x:c r="F369" t="str">
        <x:v>Medina Boutique</x:v>
      </x:c>
      <x:c r="G369" t="str">
        <x:v>Sample Development E</x:v>
      </x:c>
      <x:c r="H369" t="str">
        <x:v>Weizmann 43, Tel Aviv</x:v>
      </x:c>
      <x:c r="I369" t="str">
        <x:v>Tel Aviv</x:v>
      </x:c>
      <x:c r="J369" t="str">
        <x:v>Kikar HaMedina / New North</x:v>
      </x:c>
      <x:c r="K369" s="14" t="n">
        <x:v>0.33</x:v>
      </x:c>
      <x:c r="L369" t="str">
        <x:v>Apartment</x:v>
      </x:c>
      <x:c r="M369" t="n">
        <x:v>2</x:v>
      </x:c>
      <x:c r="N369" s="16" t="n">
        <x:v>49.5</x:v>
      </x:c>
      <x:c r="O369" t="n">
        <x:v>10</x:v>
      </x:c>
      <x:c r="P369" t="n">
        <x:v>15</x:v>
      </x:c>
      <x:c r="Q369" s="18" t="n">
        <x:v>4650000</x:v>
      </x:c>
      <x:c r="R369" s="18" t="n">
        <x:f>IFERROR(Q369/N369,"")</x:f>
        <x:v>93939.39393939394</x:v>
      </x:c>
      <x:c r="S369" t="n">
        <x:v>2027</x:v>
      </x:c>
      <x:c r="T369" t="n">
        <x:v>0</x:v>
      </x:c>
      <x:c r="U369" t="str">
        <x:v>New</x:v>
      </x:c>
      <x:c r="V369" s="16" t="n">
        <x:v>23.5</x:v>
      </x:c>
      <x:c r="W369" t="str">
        <x:v>South-West</x:v>
      </x:c>
      <x:c r="X369" t="n">
        <x:v>1</x:v>
      </x:c>
      <x:c r="Y369" s="16" t="n">
        <x:v>6.3</x:v>
      </x:c>
      <x:c r="Z369" s="1" t="b">
        <x:v>1</x:v>
      </x:c>
      <x:c r="AA369" t="str">
        <x:v>South-West, East</x:v>
      </x:c>
      <x:c r="AB369" s="16" t="n">
        <x:v>0</x:v>
      </x:c>
      <x:c r="AC369" s="16" t="n">
        <x:v>0</x:v>
      </x:c>
      <x:c r="AD369" s="1" t="b">
        <x:v>0</x:v>
      </x:c>
    </x:row>
    <x:row r="370">
      <x:c r="A370" t="str">
        <x:v>SYN-0369</x:v>
      </x:c>
      <x:c r="B370" s="12" t="n">
        <x:v>46209</x:v>
      </x:c>
      <x:c r="C370" t="str">
        <x:v>Synthetic New-Project Listing</x:v>
      </x:c>
      <x:c r="D370" t="str">
        <x:v>https://example.com/listings/SYN-0369</x:v>
      </x:c>
      <x:c r="E370" t="str">
        <x:v>New Project</x:v>
      </x:c>
      <x:c r="F370" t="str">
        <x:v>Weizmann Urban</x:v>
      </x:c>
      <x:c r="G370" t="str">
        <x:v>Sample Development B</x:v>
      </x:c>
      <x:c r="H370" t="str">
        <x:v>Biltmore 97, Tel Aviv</x:v>
      </x:c>
      <x:c r="I370" t="str">
        <x:v>Tel Aviv</x:v>
      </x:c>
      <x:c r="J370" t="str">
        <x:v>Kikar HaMedina / New North</x:v>
      </x:c>
      <x:c r="K370" s="14" t="n">
        <x:v>0.92</x:v>
      </x:c>
      <x:c r="L370" t="str">
        <x:v>Apartment</x:v>
      </x:c>
      <x:c r="M370" t="n">
        <x:v>4</x:v>
      </x:c>
      <x:c r="N370" s="16" t="n">
        <x:v>98.5</x:v>
      </x:c>
      <x:c r="O370" t="n">
        <x:v>7</x:v>
      </x:c>
      <x:c r="P370" t="n">
        <x:v>15</x:v>
      </x:c>
      <x:c r="Q370" s="18" t="n">
        <x:v>7680000</x:v>
      </x:c>
      <x:c r="R370" s="18" t="n">
        <x:f>IFERROR(Q370/N370,"")</x:f>
        <x:v>77969.54314720813</x:v>
      </x:c>
      <x:c r="S370" t="n">
        <x:v>2026</x:v>
      </x:c>
      <x:c r="T370" t="n">
        <x:v>0</x:v>
      </x:c>
      <x:c r="U370" t="str">
        <x:v>New</x:v>
      </x:c>
      <x:c r="V370" s="16" t="n">
        <x:v>18.2</x:v>
      </x:c>
      <x:c r="W370" t="str">
        <x:v>North</x:v>
      </x:c>
      <x:c r="X370" t="n">
        <x:v>1</x:v>
      </x:c>
      <x:c r="Y370" s="16" t="n">
        <x:v>0</x:v>
      </x:c>
      <x:c r="Z370" s="1" t="b">
        <x:v>1</x:v>
      </x:c>
      <x:c r="AA370" t="str">
        <x:v>North</x:v>
      </x:c>
      <x:c r="AB370" s="16" t="n">
        <x:v>0</x:v>
      </x:c>
      <x:c r="AC370" s="16" t="n">
        <x:v>0</x:v>
      </x:c>
      <x:c r="AD370" s="1" t="b">
        <x:v>0</x:v>
      </x:c>
    </x:row>
    <x:row r="371">
      <x:c r="A371" t="str">
        <x:v>SYN-0370</x:v>
      </x:c>
      <x:c r="B371" s="12" t="n">
        <x:v>46245</x:v>
      </x:c>
      <x:c r="C371" t="str">
        <x:v>Synthetic New-Project Listing</x:v>
      </x:c>
      <x:c r="D371" t="str">
        <x:v>https://example.com/listings/SYN-0370</x:v>
      </x:c>
      <x:c r="E371" t="str">
        <x:v>New Project</x:v>
      </x:c>
      <x:c r="F371" t="str">
        <x:v>North TLV Living</x:v>
      </x:c>
      <x:c r="G371" t="str">
        <x:v>Sample Development D</x:v>
      </x:c>
      <x:c r="H371" t="str">
        <x:v>Jabotinsky 68, Tel Aviv</x:v>
      </x:c>
      <x:c r="I371" t="str">
        <x:v>Tel Aviv</x:v>
      </x:c>
      <x:c r="J371" t="str">
        <x:v>Kikar HaMedina / New North</x:v>
      </x:c>
      <x:c r="K371" s="14" t="n">
        <x:v>0.63</x:v>
      </x:c>
      <x:c r="L371" t="str">
        <x:v>Apartment</x:v>
      </x:c>
      <x:c r="M371" t="n">
        <x:v>4</x:v>
      </x:c>
      <x:c r="N371" s="16" t="n">
        <x:v>92.6</x:v>
      </x:c>
      <x:c r="O371" t="n">
        <x:v>0</x:v>
      </x:c>
      <x:c r="P371" t="n">
        <x:v>11</x:v>
      </x:c>
      <x:c r="Q371" s="18" t="n">
        <x:v>7350000</x:v>
      </x:c>
      <x:c r="R371" s="18" t="n">
        <x:f>IFERROR(Q371/N371,"")</x:f>
        <x:v>79373.65010799137</x:v>
      </x:c>
      <x:c r="S371" t="n">
        <x:v>2025</x:v>
      </x:c>
      <x:c r="T371" t="n">
        <x:v>1</x:v>
      </x:c>
      <x:c r="U371" t="str">
        <x:v>New</x:v>
      </x:c>
      <x:c r="V371" s="16" t="n">
        <x:v>14.9</x:v>
      </x:c>
      <x:c r="W371" t="str">
        <x:v>North-West</x:v>
      </x:c>
      <x:c r="X371" t="n">
        <x:v>1</x:v>
      </x:c>
      <x:c r="Y371" s="16" t="n">
        <x:v>5.7</x:v>
      </x:c>
      <x:c r="Z371" s="1" t="b">
        <x:v>1</x:v>
      </x:c>
      <x:c r="AA371" t="str">
        <x:v>North-West, West</x:v>
      </x:c>
      <x:c r="AB371" s="16" t="n">
        <x:v>0</x:v>
      </x:c>
      <x:c r="AC371" s="16" t="n">
        <x:v>0</x:v>
      </x:c>
      <x:c r="AD371" s="1" t="b">
        <x:v>0</x:v>
      </x:c>
    </x:row>
    <x:row r="372">
      <x:c r="A372" t="str">
        <x:v>SYN-0371</x:v>
      </x:c>
      <x:c r="B372" s="12" t="n">
        <x:v>46229</x:v>
      </x:c>
      <x:c r="C372" t="str">
        <x:v>Synthetic New-Project Listing</x:v>
      </x:c>
      <x:c r="D372" t="str">
        <x:v>https://example.com/listings/SYN-0371</x:v>
      </x:c>
      <x:c r="E372" t="str">
        <x:v>New Project</x:v>
      </x:c>
      <x:c r="F372" t="str">
        <x:v>Helsinki Gardens</x:v>
      </x:c>
      <x:c r="G372" t="str">
        <x:v>Sample Development C</x:v>
      </x:c>
      <x:c r="H372" t="str">
        <x:v>Jabotinsky 140, Tel Aviv</x:v>
      </x:c>
      <x:c r="I372" t="str">
        <x:v>Tel Aviv</x:v>
      </x:c>
      <x:c r="J372" t="str">
        <x:v>Kikar HaMedina / New North</x:v>
      </x:c>
      <x:c r="K372" s="14" t="n">
        <x:v>0.47</x:v>
      </x:c>
      <x:c r="L372" t="str">
        <x:v>Apartment</x:v>
      </x:c>
      <x:c r="M372" t="n">
        <x:v>3</x:v>
      </x:c>
      <x:c r="N372" s="16" t="n">
        <x:v>70.2</x:v>
      </x:c>
      <x:c r="O372" t="n">
        <x:v>1</x:v>
      </x:c>
      <x:c r="P372" t="n">
        <x:v>5</x:v>
      </x:c>
      <x:c r="Q372" s="18" t="n">
        <x:v>5820000</x:v>
      </x:c>
      <x:c r="R372" s="18" t="n">
        <x:f>IFERROR(Q372/N372,"")</x:f>
        <x:v>82905.9829059829</x:v>
      </x:c>
      <x:c r="S372" t="n">
        <x:v>2027</x:v>
      </x:c>
      <x:c r="T372" t="n">
        <x:v>0</x:v>
      </x:c>
      <x:c r="U372" t="str">
        <x:v>New</x:v>
      </x:c>
      <x:c r="V372" s="16" t="n">
        <x:v>13.3</x:v>
      </x:c>
      <x:c r="W372" t="str">
        <x:v>North-West</x:v>
      </x:c>
      <x:c r="X372" t="n">
        <x:v>1</x:v>
      </x:c>
      <x:c r="Y372" s="16" t="n">
        <x:v>0</x:v>
      </x:c>
      <x:c r="Z372" s="1" t="b">
        <x:v>1</x:v>
      </x:c>
      <x:c r="AA372" t="str">
        <x:v>North-West, North</x:v>
      </x:c>
      <x:c r="AB372" s="16" t="n">
        <x:v>0</x:v>
      </x:c>
      <x:c r="AC372" s="16" t="n">
        <x:v>0</x:v>
      </x:c>
      <x:c r="AD372" s="1" t="b">
        <x:v>0</x:v>
      </x:c>
    </x:row>
    <x:row r="373">
      <x:c r="A373" t="str">
        <x:v>SYN-0372</x:v>
      </x:c>
      <x:c r="B373" s="12" t="n">
        <x:v>46216</x:v>
      </x:c>
      <x:c r="C373" t="str">
        <x:v>Synthetic Yad2-like Listing</x:v>
      </x:c>
      <x:c r="D373" t="str">
        <x:v>https://example.com/listings/SYN-0372</x:v>
      </x:c>
      <x:c r="E373" t="str">
        <x:v>Second Hand</x:v>
      </x:c>
      <x:c r="F373" t="str"/>
      <x:c r="G373" t="str"/>
      <x:c r="H373" t="str">
        <x:v>Klay 120, Tel Aviv</x:v>
      </x:c>
      <x:c r="I373" t="str">
        <x:v>Tel Aviv</x:v>
      </x:c>
      <x:c r="J373" t="str">
        <x:v>Kikar HaMedina / New North</x:v>
      </x:c>
      <x:c r="K373" s="14" t="n">
        <x:v>0.33</x:v>
      </x:c>
      <x:c r="L373" t="str">
        <x:v>Apartment</x:v>
      </x:c>
      <x:c r="M373" t="n">
        <x:v>5</x:v>
      </x:c>
      <x:c r="N373" s="16" t="n">
        <x:v>131.7</x:v>
      </x:c>
      <x:c r="O373" t="n">
        <x:v>0</x:v>
      </x:c>
      <x:c r="P373" t="n">
        <x:v>11</x:v>
      </x:c>
      <x:c r="Q373" s="18" t="n">
        <x:v>8430000</x:v>
      </x:c>
      <x:c r="R373" s="18" t="n">
        <x:f>IFERROR(Q373/N373,"")</x:f>
        <x:v>64009.111617312075</x:v>
      </x:c>
      <x:c r="S373" t="n">
        <x:v>1974</x:v>
      </x:c>
      <x:c r="T373" t="n">
        <x:v>52</x:v>
      </x:c>
      <x:c r="U373" t="str">
        <x:v>Good</x:v>
      </x:c>
      <x:c r="V373" s="16" t="n">
        <x:v>0</x:v>
      </x:c>
      <x:c r="W373" t="str"/>
      <x:c r="X373" t="n">
        <x:v>2</x:v>
      </x:c>
      <x:c r="Y373" s="16" t="n">
        <x:v>0</x:v>
      </x:c>
      <x:c r="Z373" s="1" t="b">
        <x:v>1</x:v>
      </x:c>
      <x:c r="AA373" t="str">
        <x:v>North-East</x:v>
      </x:c>
      <x:c r="AB373" s="16" t="n">
        <x:v>0</x:v>
      </x:c>
      <x:c r="AC373" s="16" t="n">
        <x:v>0</x:v>
      </x:c>
      <x:c r="AD373" s="1" t="b">
        <x:v>0</x:v>
      </x:c>
    </x:row>
    <x:row r="374">
      <x:c r="A374" t="str">
        <x:v>SYN-0373</x:v>
      </x:c>
      <x:c r="B374" s="12" t="n">
        <x:v>46212</x:v>
      </x:c>
      <x:c r="C374" t="str">
        <x:v>Synthetic Yad2-like Listing</x:v>
      </x:c>
      <x:c r="D374" t="str">
        <x:v>https://example.com/listings/SYN-0373</x:v>
      </x:c>
      <x:c r="E374" t="str">
        <x:v>Second Hand</x:v>
      </x:c>
      <x:c r="F374" t="str"/>
      <x:c r="G374" t="str"/>
      <x:c r="H374" t="str">
        <x:v>Biltmore 177, Tel Aviv</x:v>
      </x:c>
      <x:c r="I374" t="str">
        <x:v>Tel Aviv</x:v>
      </x:c>
      <x:c r="J374" t="str">
        <x:v>Kikar HaMedina / New North</x:v>
      </x:c>
      <x:c r="K374" s="14" t="n">
        <x:v>0.78</x:v>
      </x:c>
      <x:c r="L374" t="str">
        <x:v>Apartment</x:v>
      </x:c>
      <x:c r="M374" t="n">
        <x:v>5</x:v>
      </x:c>
      <x:c r="N374" s="16" t="n">
        <x:v>122.9</x:v>
      </x:c>
      <x:c r="O374" t="n">
        <x:v>7</x:v>
      </x:c>
      <x:c r="P374" t="n">
        <x:v>15</x:v>
      </x:c>
      <x:c r="Q374" s="18" t="n">
        <x:v>8720000</x:v>
      </x:c>
      <x:c r="R374" s="18" t="n">
        <x:f>IFERROR(Q374/N374,"")</x:f>
        <x:v>70951.9934906428</x:v>
      </x:c>
      <x:c r="S374" t="n">
        <x:v>1982</x:v>
      </x:c>
      <x:c r="T374" t="n">
        <x:v>44</x:v>
      </x:c>
      <x:c r="U374" t="str">
        <x:v>Renovated</x:v>
      </x:c>
      <x:c r="V374" s="16" t="n">
        <x:v>11.3</x:v>
      </x:c>
      <x:c r="W374" t="str">
        <x:v>East</x:v>
      </x:c>
      <x:c r="X374" t="n">
        <x:v>1</x:v>
      </x:c>
      <x:c r="Y374" s="16" t="n">
        <x:v>0</x:v>
      </x:c>
      <x:c r="Z374" s="1" t="b">
        <x:v>1</x:v>
      </x:c>
      <x:c r="AA374" t="str">
        <x:v>East, East</x:v>
      </x:c>
      <x:c r="AB374" s="16" t="n">
        <x:v>0</x:v>
      </x:c>
      <x:c r="AC374" s="16" t="n">
        <x:v>0</x:v>
      </x:c>
      <x:c r="AD374" s="1" t="b">
        <x:v>0</x:v>
      </x:c>
    </x:row>
    <x:row r="375">
      <x:c r="A375" t="str">
        <x:v>SYN-0374</x:v>
      </x:c>
      <x:c r="B375" s="12" t="n">
        <x:v>46216</x:v>
      </x:c>
      <x:c r="C375" t="str">
        <x:v>Synthetic New-Project Listing</x:v>
      </x:c>
      <x:c r="D375" t="str">
        <x:v>https://example.com/listings/SYN-0374</x:v>
      </x:c>
      <x:c r="E375" t="str">
        <x:v>New Project</x:v>
      </x:c>
      <x:c r="F375" t="str">
        <x:v>Kikar Residence</x:v>
      </x:c>
      <x:c r="G375" t="str">
        <x:v>Sample Development A</x:v>
      </x:c>
      <x:c r="H375" t="str">
        <x:v>Pinkas 27, Tel Aviv</x:v>
      </x:c>
      <x:c r="I375" t="str">
        <x:v>Tel Aviv</x:v>
      </x:c>
      <x:c r="J375" t="str">
        <x:v>Kikar HaMedina / New North</x:v>
      </x:c>
      <x:c r="K375" s="14" t="n">
        <x:v>0.51</x:v>
      </x:c>
      <x:c r="L375" t="str">
        <x:v>Apartment</x:v>
      </x:c>
      <x:c r="M375" t="n">
        <x:v>5</x:v>
      </x:c>
      <x:c r="N375" s="16" t="n">
        <x:v>120.6</x:v>
      </x:c>
      <x:c r="O375" t="n">
        <x:v>10</x:v>
      </x:c>
      <x:c r="P375" t="n">
        <x:v>17</x:v>
      </x:c>
      <x:c r="Q375" s="18" t="n">
        <x:v>9850000</x:v>
      </x:c>
      <x:c r="R375" s="18" t="n">
        <x:f>IFERROR(Q375/N375,"")</x:f>
        <x:v>81674.95854063019</x:v>
      </x:c>
      <x:c r="S375" t="n">
        <x:v>2026</x:v>
      </x:c>
      <x:c r="T375" t="n">
        <x:v>0</x:v>
      </x:c>
      <x:c r="U375" t="str">
        <x:v>New</x:v>
      </x:c>
      <x:c r="V375" s="16" t="n">
        <x:v>17.4</x:v>
      </x:c>
      <x:c r="W375" t="str">
        <x:v>South-East</x:v>
      </x:c>
      <x:c r="X375" t="n">
        <x:v>2</x:v>
      </x:c>
      <x:c r="Y375" s="16" t="n">
        <x:v>6.2</x:v>
      </x:c>
      <x:c r="Z375" s="1" t="b">
        <x:v>1</x:v>
      </x:c>
      <x:c r="AA375" t="str">
        <x:v>South-East, South</x:v>
      </x:c>
      <x:c r="AB375" s="16" t="n">
        <x:v>0</x:v>
      </x:c>
      <x:c r="AC375" s="16" t="n">
        <x:v>0</x:v>
      </x:c>
      <x:c r="AD375" s="1" t="b">
        <x:v>0</x:v>
      </x:c>
    </x:row>
    <x:row r="376">
      <x:c r="A376" t="str">
        <x:v>SYN-0375</x:v>
      </x:c>
      <x:c r="B376" s="12" t="n">
        <x:v>46249</x:v>
      </x:c>
      <x:c r="C376" t="str">
        <x:v>Synthetic New-Project Listing</x:v>
      </x:c>
      <x:c r="D376" t="str">
        <x:v>https://example.com/listings/SYN-0375</x:v>
      </x:c>
      <x:c r="E376" t="str">
        <x:v>New Project</x:v>
      </x:c>
      <x:c r="F376" t="str">
        <x:v>Weizmann Urban</x:v>
      </x:c>
      <x:c r="G376" t="str">
        <x:v>Sample Development B</x:v>
      </x:c>
      <x:c r="H376" t="str">
        <x:v>Klay 100, Tel Aviv</x:v>
      </x:c>
      <x:c r="I376" t="str">
        <x:v>Tel Aviv</x:v>
      </x:c>
      <x:c r="J376" t="str">
        <x:v>Kikar HaMedina / New North</x:v>
      </x:c>
      <x:c r="K376" s="14" t="n">
        <x:v>0.49</x:v>
      </x:c>
      <x:c r="L376" t="str">
        <x:v>Apartment</x:v>
      </x:c>
      <x:c r="M376" t="n">
        <x:v>5</x:v>
      </x:c>
      <x:c r="N376" s="16" t="n">
        <x:v>119.4</x:v>
      </x:c>
      <x:c r="O376" t="n">
        <x:v>3</x:v>
      </x:c>
      <x:c r="P376" t="n">
        <x:v>8</x:v>
      </x:c>
      <x:c r="Q376" s="18" t="n">
        <x:v>9330000</x:v>
      </x:c>
      <x:c r="R376" s="18" t="n">
        <x:f>IFERROR(Q376/N376,"")</x:f>
        <x:v>78140.70351758794</x:v>
      </x:c>
      <x:c r="S376" t="n">
        <x:v>2025</x:v>
      </x:c>
      <x:c r="T376" t="n">
        <x:v>1</x:v>
      </x:c>
      <x:c r="U376" t="str">
        <x:v>New</x:v>
      </x:c>
      <x:c r="V376" s="16" t="n">
        <x:v>9.4</x:v>
      </x:c>
      <x:c r="W376" t="str">
        <x:v>North</x:v>
      </x:c>
      <x:c r="X376" t="n">
        <x:v>1</x:v>
      </x:c>
      <x:c r="Y376" s="16" t="n">
        <x:v>4.1</x:v>
      </x:c>
      <x:c r="Z376" s="1" t="b">
        <x:v>1</x:v>
      </x:c>
      <x:c r="AA376" t="str">
        <x:v>North, West</x:v>
      </x:c>
      <x:c r="AB376" s="16" t="n">
        <x:v>0</x:v>
      </x:c>
      <x:c r="AC376" s="16" t="n">
        <x:v>0</x:v>
      </x:c>
      <x:c r="AD376" s="1" t="b">
        <x:v>0</x:v>
      </x:c>
    </x:row>
    <x:row r="377">
      <x:c r="A377" t="str">
        <x:v>SYN-0376</x:v>
      </x:c>
      <x:c r="B377" s="12" t="n">
        <x:v>46206</x:v>
      </x:c>
      <x:c r="C377" t="str">
        <x:v>Synthetic Yad2-like Listing</x:v>
      </x:c>
      <x:c r="D377" t="str">
        <x:v>https://example.com/listings/SYN-0376</x:v>
      </x:c>
      <x:c r="E377" t="str">
        <x:v>Second Hand</x:v>
      </x:c>
      <x:c r="F377" t="str"/>
      <x:c r="G377" t="str"/>
      <x:c r="H377" t="str">
        <x:v>Jabotinsky 135, Tel Aviv</x:v>
      </x:c>
      <x:c r="I377" t="str">
        <x:v>Tel Aviv</x:v>
      </x:c>
      <x:c r="J377" t="str">
        <x:v>Kikar HaMedina / New North</x:v>
      </x:c>
      <x:c r="K377" s="14" t="n">
        <x:v>0.61</x:v>
      </x:c>
      <x:c r="L377" t="str">
        <x:v>Apartment</x:v>
      </x:c>
      <x:c r="M377" t="n">
        <x:v>2</x:v>
      </x:c>
      <x:c r="N377" s="16" t="n">
        <x:v>54.1</x:v>
      </x:c>
      <x:c r="O377" t="n">
        <x:v>4</x:v>
      </x:c>
      <x:c r="P377" t="n">
        <x:v>14</x:v>
      </x:c>
      <x:c r="Q377" s="18" t="n">
        <x:v>3910000</x:v>
      </x:c>
      <x:c r="R377" s="18" t="n">
        <x:f>IFERROR(Q377/N377,"")</x:f>
        <x:v>72273.5674676525</x:v>
      </x:c>
      <x:c r="S377" t="n">
        <x:v>2012</x:v>
      </x:c>
      <x:c r="T377" t="n">
        <x:v>14</x:v>
      </x:c>
      <x:c r="U377" t="str">
        <x:v>Good</x:v>
      </x:c>
      <x:c r="V377" s="16" t="n">
        <x:v>0</x:v>
      </x:c>
      <x:c r="W377" t="str"/>
      <x:c r="X377" t="n">
        <x:v>1</x:v>
      </x:c>
      <x:c r="Y377" s="16" t="n">
        <x:v>9.9</x:v>
      </x:c>
      <x:c r="Z377" s="1" t="b">
        <x:v>1</x:v>
      </x:c>
      <x:c r="AA377" t="str">
        <x:v>North-South</x:v>
      </x:c>
      <x:c r="AB377" s="16" t="n">
        <x:v>0</x:v>
      </x:c>
      <x:c r="AC377" s="16" t="n">
        <x:v>0</x:v>
      </x:c>
      <x:c r="AD377" s="1" t="b">
        <x:v>0</x:v>
      </x:c>
    </x:row>
    <x:row r="378">
      <x:c r="A378" t="str">
        <x:v>SYN-0377</x:v>
      </x:c>
      <x:c r="B378" s="12" t="n">
        <x:v>46248</x:v>
      </x:c>
      <x:c r="C378" t="str">
        <x:v>Synthetic Yad2-like Listing</x:v>
      </x:c>
      <x:c r="D378" t="str">
        <x:v>https://example.com/listings/SYN-0377</x:v>
      </x:c>
      <x:c r="E378" t="str">
        <x:v>Second Hand</x:v>
      </x:c>
      <x:c r="F378" t="str"/>
      <x:c r="G378" t="str"/>
      <x:c r="H378" t="str">
        <x:v>Pinkas 118, Tel Aviv</x:v>
      </x:c>
      <x:c r="I378" t="str">
        <x:v>Tel Aviv</x:v>
      </x:c>
      <x:c r="J378" t="str">
        <x:v>Kikar HaMedina / New North</x:v>
      </x:c>
      <x:c r="K378" s="14" t="n">
        <x:v>0.56</x:v>
      </x:c>
      <x:c r="L378" t="str">
        <x:v>Apartment</x:v>
      </x:c>
      <x:c r="M378" t="n">
        <x:v>3</x:v>
      </x:c>
      <x:c r="N378" s="16" t="n">
        <x:v>85.3</x:v>
      </x:c>
      <x:c r="O378" t="n">
        <x:v>7</x:v>
      </x:c>
      <x:c r="P378" t="n">
        <x:v>13</x:v>
      </x:c>
      <x:c r="Q378" s="18" t="n">
        <x:v>5360000</x:v>
      </x:c>
      <x:c r="R378" s="18" t="n">
        <x:f>IFERROR(Q378/N378,"")</x:f>
        <x:v>62837.04572098476</x:v>
      </x:c>
      <x:c r="S378" t="n">
        <x:v>1971</x:v>
      </x:c>
      <x:c r="T378" t="n">
        <x:v>55</x:v>
      </x:c>
      <x:c r="U378" t="str">
        <x:v>Good</x:v>
      </x:c>
      <x:c r="V378" s="16" t="n">
        <x:v>0</x:v>
      </x:c>
      <x:c r="W378" t="str"/>
      <x:c r="X378" t="n">
        <x:v>1</x:v>
      </x:c>
      <x:c r="Y378" s="16" t="n">
        <x:v>0</x:v>
      </x:c>
      <x:c r="Z378" s="1" t="b">
        <x:v>1</x:v>
      </x:c>
      <x:c r="AA378" t="str">
        <x:v>North</x:v>
      </x:c>
      <x:c r="AB378" s="16" t="n">
        <x:v>0</x:v>
      </x:c>
      <x:c r="AC378" s="16" t="n">
        <x:v>0</x:v>
      </x:c>
      <x:c r="AD378" s="1" t="b">
        <x:v>0</x:v>
      </x:c>
    </x:row>
    <x:row r="379">
      <x:c r="A379" t="str">
        <x:v>SYN-0378</x:v>
      </x:c>
      <x:c r="B379" s="12" t="n">
        <x:v>46236</x:v>
      </x:c>
      <x:c r="C379" t="str">
        <x:v>Synthetic Yad2-like Listing</x:v>
      </x:c>
      <x:c r="D379" t="str">
        <x:v>https://example.com/listings/SYN-0378</x:v>
      </x:c>
      <x:c r="E379" t="str">
        <x:v>Second Hand</x:v>
      </x:c>
      <x:c r="F379" t="str"/>
      <x:c r="G379" t="str"/>
      <x:c r="H379" t="str">
        <x:v>Weizmann 130, Tel Aviv</x:v>
      </x:c>
      <x:c r="I379" t="str">
        <x:v>Tel Aviv</x:v>
      </x:c>
      <x:c r="J379" t="str">
        <x:v>Kikar HaMedina / New North</x:v>
      </x:c>
      <x:c r="K379" s="14" t="n">
        <x:v>0.17</x:v>
      </x:c>
      <x:c r="L379" t="str">
        <x:v>Apartment</x:v>
      </x:c>
      <x:c r="M379" t="n">
        <x:v>3</x:v>
      </x:c>
      <x:c r="N379" s="16" t="n">
        <x:v>85</x:v>
      </x:c>
      <x:c r="O379" t="n">
        <x:v>4</x:v>
      </x:c>
      <x:c r="P379" t="n">
        <x:v>15</x:v>
      </x:c>
      <x:c r="Q379" s="18" t="n">
        <x:v>5810000</x:v>
      </x:c>
      <x:c r="R379" s="18" t="n">
        <x:f>IFERROR(Q379/N379,"")</x:f>
        <x:v>68352.94117647059</x:v>
      </x:c>
      <x:c r="S379" t="n">
        <x:v>1983</x:v>
      </x:c>
      <x:c r="T379" t="n">
        <x:v>43</x:v>
      </x:c>
      <x:c r="U379" t="str">
        <x:v>Renovated</x:v>
      </x:c>
      <x:c r="V379" s="16" t="n">
        <x:v>9.1</x:v>
      </x:c>
      <x:c r="W379" t="str">
        <x:v>West</x:v>
      </x:c>
      <x:c r="X379" t="n">
        <x:v>0</x:v>
      </x:c>
      <x:c r="Y379" s="16" t="n">
        <x:v>8.3</x:v>
      </x:c>
      <x:c r="Z379" s="1" t="b">
        <x:v>1</x:v>
      </x:c>
      <x:c r="AA379" t="str">
        <x:v>West, West</x:v>
      </x:c>
      <x:c r="AB379" s="16" t="n">
        <x:v>0</x:v>
      </x:c>
      <x:c r="AC379" s="16" t="n">
        <x:v>0</x:v>
      </x:c>
      <x:c r="AD379" s="1" t="b">
        <x:v>0</x:v>
      </x:c>
    </x:row>
    <x:row r="380">
      <x:c r="A380" t="str">
        <x:v>SYN-0379</x:v>
      </x:c>
      <x:c r="B380" s="12" t="n">
        <x:v>46214</x:v>
      </x:c>
      <x:c r="C380" t="str">
        <x:v>Synthetic New-Project Listing</x:v>
      </x:c>
      <x:c r="D380" t="str">
        <x:v>https://example.com/listings/SYN-0379</x:v>
      </x:c>
      <x:c r="E380" t="str">
        <x:v>New Project</x:v>
      </x:c>
      <x:c r="F380" t="str">
        <x:v>Helsinki Gardens</x:v>
      </x:c>
      <x:c r="G380" t="str">
        <x:v>Sample Development C</x:v>
      </x:c>
      <x:c r="H380" t="str">
        <x:v>Lissin 141, Tel Aviv</x:v>
      </x:c>
      <x:c r="I380" t="str">
        <x:v>Tel Aviv</x:v>
      </x:c>
      <x:c r="J380" t="str">
        <x:v>Kikar HaMedina / New North</x:v>
      </x:c>
      <x:c r="K380" s="14" t="n">
        <x:v>0.62</x:v>
      </x:c>
      <x:c r="L380" t="str">
        <x:v>Apartment</x:v>
      </x:c>
      <x:c r="M380" t="n">
        <x:v>2</x:v>
      </x:c>
      <x:c r="N380" s="16" t="n">
        <x:v>54.9</x:v>
      </x:c>
      <x:c r="O380" t="n">
        <x:v>10</x:v>
      </x:c>
      <x:c r="P380" t="n">
        <x:v>18</x:v>
      </x:c>
      <x:c r="Q380" s="18" t="n">
        <x:v>4950000</x:v>
      </x:c>
      <x:c r="R380" s="18" t="n">
        <x:f>IFERROR(Q380/N380,"")</x:f>
        <x:v>90163.9344262295</x:v>
      </x:c>
      <x:c r="S380" t="n">
        <x:v>2025</x:v>
      </x:c>
      <x:c r="T380" t="n">
        <x:v>1</x:v>
      </x:c>
      <x:c r="U380" t="str">
        <x:v>New</x:v>
      </x:c>
      <x:c r="V380" s="16" t="n">
        <x:v>21.7</x:v>
      </x:c>
      <x:c r="W380" t="str">
        <x:v>South-East</x:v>
      </x:c>
      <x:c r="X380" t="n">
        <x:v>1</x:v>
      </x:c>
      <x:c r="Y380" s="16" t="n">
        <x:v>8</x:v>
      </x:c>
      <x:c r="Z380" s="1" t="b">
        <x:v>1</x:v>
      </x:c>
      <x:c r="AA380" t="str">
        <x:v>South-East, South</x:v>
      </x:c>
      <x:c r="AB380" s="16" t="n">
        <x:v>0</x:v>
      </x:c>
      <x:c r="AC380" s="16" t="n">
        <x:v>0</x:v>
      </x:c>
      <x:c r="AD380" s="1" t="b">
        <x:v>0</x:v>
      </x:c>
    </x:row>
    <x:row r="381">
      <x:c r="A381" t="str">
        <x:v>SYN-0380</x:v>
      </x:c>
      <x:c r="B381" s="12" t="n">
        <x:v>46246</x:v>
      </x:c>
      <x:c r="C381" t="str">
        <x:v>Synthetic New-Project Listing</x:v>
      </x:c>
      <x:c r="D381" t="str">
        <x:v>https://example.com/listings/SYN-0380</x:v>
      </x:c>
      <x:c r="E381" t="str">
        <x:v>New Project</x:v>
      </x:c>
      <x:c r="F381" t="str">
        <x:v>Kikar Residence</x:v>
      </x:c>
      <x:c r="G381" t="str">
        <x:v>Sample Development A</x:v>
      </x:c>
      <x:c r="H381" t="str">
        <x:v>Klay 56, Tel Aviv</x:v>
      </x:c>
      <x:c r="I381" t="str">
        <x:v>Tel Aviv</x:v>
      </x:c>
      <x:c r="J381" t="str">
        <x:v>Kikar HaMedina / New North</x:v>
      </x:c>
      <x:c r="K381" s="14" t="n">
        <x:v>0.6</x:v>
      </x:c>
      <x:c r="L381" t="str">
        <x:v>Apartment</x:v>
      </x:c>
      <x:c r="M381" t="n">
        <x:v>2</x:v>
      </x:c>
      <x:c r="N381" s="16" t="n">
        <x:v>47.4</x:v>
      </x:c>
      <x:c r="O381" t="n">
        <x:v>4</x:v>
      </x:c>
      <x:c r="P381" t="n">
        <x:v>6</x:v>
      </x:c>
      <x:c r="Q381" s="18" t="n">
        <x:v>4000000</x:v>
      </x:c>
      <x:c r="R381" s="18" t="n">
        <x:f>IFERROR(Q381/N381,"")</x:f>
        <x:v>84388.18565400844</x:v>
      </x:c>
      <x:c r="S381" t="n">
        <x:v>2025</x:v>
      </x:c>
      <x:c r="T381" t="n">
        <x:v>1</x:v>
      </x:c>
      <x:c r="U381" t="str">
        <x:v>New</x:v>
      </x:c>
      <x:c r="V381" s="16" t="n">
        <x:v>9.2</x:v>
      </x:c>
      <x:c r="W381" t="str">
        <x:v>North</x:v>
      </x:c>
      <x:c r="X381" t="n">
        <x:v>1</x:v>
      </x:c>
      <x:c r="Y381" s="16" t="n">
        <x:v>5.5</x:v>
      </x:c>
      <x:c r="Z381" s="1" t="b">
        <x:v>1</x:v>
      </x:c>
      <x:c r="AA381" t="str">
        <x:v>North, West</x:v>
      </x:c>
      <x:c r="AB381" s="16" t="n">
        <x:v>0</x:v>
      </x:c>
      <x:c r="AC381" s="16" t="n">
        <x:v>0</x:v>
      </x:c>
      <x:c r="AD381" s="1" t="b">
        <x:v>0</x:v>
      </x:c>
    </x:row>
    <x:row r="382">
      <x:c r="A382" t="str">
        <x:v>SYN-0381</x:v>
      </x:c>
      <x:c r="B382" s="12" t="n">
        <x:v>46230</x:v>
      </x:c>
      <x:c r="C382" t="str">
        <x:v>Synthetic Yad2-like Listing</x:v>
      </x:c>
      <x:c r="D382" t="str">
        <x:v>https://example.com/listings/SYN-0381</x:v>
      </x:c>
      <x:c r="E382" t="str">
        <x:v>Second Hand</x:v>
      </x:c>
      <x:c r="F382" t="str"/>
      <x:c r="G382" t="str"/>
      <x:c r="H382" t="str">
        <x:v>Jabotinsky 25, Tel Aviv</x:v>
      </x:c>
      <x:c r="I382" t="str">
        <x:v>Tel Aviv</x:v>
      </x:c>
      <x:c r="J382" t="str">
        <x:v>Kikar HaMedina / New North</x:v>
      </x:c>
      <x:c r="K382" s="14" t="n">
        <x:v>0.54</x:v>
      </x:c>
      <x:c r="L382" t="str">
        <x:v>Garden Apartment</x:v>
      </x:c>
      <x:c r="M382" t="n">
        <x:v>3</x:v>
      </x:c>
      <x:c r="N382" s="16" t="n">
        <x:v>72.1</x:v>
      </x:c>
      <x:c r="O382" t="n">
        <x:v>0</x:v>
      </x:c>
      <x:c r="P382" t="n">
        <x:v>13</x:v>
      </x:c>
      <x:c r="Q382" s="18" t="n">
        <x:v>6960000</x:v>
      </x:c>
      <x:c r="R382" s="18" t="n">
        <x:f>IFERROR(Q382/N382,"")</x:f>
        <x:v>96532.59361997226</x:v>
      </x:c>
      <x:c r="S382" t="n">
        <x:v>1960</x:v>
      </x:c>
      <x:c r="T382" t="n">
        <x:v>66</x:v>
      </x:c>
      <x:c r="U382" t="str">
        <x:v>Renovated</x:v>
      </x:c>
      <x:c r="V382" s="16" t="n">
        <x:v>84.9</x:v>
      </x:c>
      <x:c r="W382" t="str">
        <x:v>West</x:v>
      </x:c>
      <x:c r="X382" t="n">
        <x:v>1</x:v>
      </x:c>
      <x:c r="Y382" s="16" t="n">
        <x:v>3.6</x:v>
      </x:c>
      <x:c r="Z382" s="1" t="b">
        <x:v>1</x:v>
      </x:c>
      <x:c r="AA382" t="str">
        <x:v>West, East</x:v>
      </x:c>
      <x:c r="AB382" s="16" t="n">
        <x:v>48.8</x:v>
      </x:c>
      <x:c r="AC382" s="16" t="n">
        <x:v>0</x:v>
      </x:c>
      <x:c r="AD382" s="1" t="b">
        <x:v>0</x:v>
      </x:c>
    </x:row>
    <x:row r="383">
      <x:c r="A383" t="str">
        <x:v>SYN-0382</x:v>
      </x:c>
      <x:c r="B383" s="12" t="n">
        <x:v>46245</x:v>
      </x:c>
      <x:c r="C383" t="str">
        <x:v>Synthetic Yad2-like Listing</x:v>
      </x:c>
      <x:c r="D383" t="str">
        <x:v>https://example.com/listings/SYN-0382</x:v>
      </x:c>
      <x:c r="E383" t="str">
        <x:v>Second Hand</x:v>
      </x:c>
      <x:c r="F383" t="str"/>
      <x:c r="G383" t="str"/>
      <x:c r="H383" t="str">
        <x:v>Mosenzon 4, Tel Aviv</x:v>
      </x:c>
      <x:c r="I383" t="str">
        <x:v>Tel Aviv</x:v>
      </x:c>
      <x:c r="J383" t="str">
        <x:v>Kikar HaMedina / New North</x:v>
      </x:c>
      <x:c r="K383" s="14" t="n">
        <x:v>0.77</x:v>
      </x:c>
      <x:c r="L383" t="str">
        <x:v>Apartment</x:v>
      </x:c>
      <x:c r="M383" t="n">
        <x:v>5</x:v>
      </x:c>
      <x:c r="N383" s="16" t="n">
        <x:v>120.4</x:v>
      </x:c>
      <x:c r="O383" t="n">
        <x:v>10</x:v>
      </x:c>
      <x:c r="P383" t="n">
        <x:v>14</x:v>
      </x:c>
      <x:c r="Q383" s="18" t="n">
        <x:v>7730000</x:v>
      </x:c>
      <x:c r="R383" s="18" t="n">
        <x:f>IFERROR(Q383/N383,"")</x:f>
        <x:v>64202.65780730897</x:v>
      </x:c>
      <x:c r="S383" t="n">
        <x:v>1960</x:v>
      </x:c>
      <x:c r="T383" t="n">
        <x:v>66</x:v>
      </x:c>
      <x:c r="U383" t="str">
        <x:v>Good</x:v>
      </x:c>
      <x:c r="V383" s="16" t="n">
        <x:v>0</x:v>
      </x:c>
      <x:c r="W383" t="str"/>
      <x:c r="X383" t="n">
        <x:v>1</x:v>
      </x:c>
      <x:c r="Y383" s="16" t="n">
        <x:v>3.7</x:v>
      </x:c>
      <x:c r="Z383" s="1" t="b">
        <x:v>1</x:v>
      </x:c>
      <x:c r="AA383" t="str">
        <x:v>South-West</x:v>
      </x:c>
      <x:c r="AB383" s="16" t="n">
        <x:v>0</x:v>
      </x:c>
      <x:c r="AC383" s="16" t="n">
        <x:v>0</x:v>
      </x:c>
      <x:c r="AD383" s="1" t="b">
        <x:v>0</x:v>
      </x:c>
    </x:row>
    <x:row r="384">
      <x:c r="A384" t="str">
        <x:v>SYN-0383</x:v>
      </x:c>
      <x:c r="B384" s="12" t="n">
        <x:v>46242</x:v>
      </x:c>
      <x:c r="C384" t="str">
        <x:v>Synthetic Yad2-like Listing</x:v>
      </x:c>
      <x:c r="D384" t="str">
        <x:v>https://example.com/listings/SYN-0383</x:v>
      </x:c>
      <x:c r="E384" t="str">
        <x:v>Second Hand</x:v>
      </x:c>
      <x:c r="F384" t="str"/>
      <x:c r="G384" t="str"/>
      <x:c r="H384" t="str">
        <x:v>Pinkas 177, Tel Aviv</x:v>
      </x:c>
      <x:c r="I384" t="str">
        <x:v>Tel Aviv</x:v>
      </x:c>
      <x:c r="J384" t="str">
        <x:v>Kikar HaMedina / New North</x:v>
      </x:c>
      <x:c r="K384" s="14" t="n">
        <x:v>0.39</x:v>
      </x:c>
      <x:c r="L384" t="str">
        <x:v>Apartment</x:v>
      </x:c>
      <x:c r="M384" t="n">
        <x:v>2</x:v>
      </x:c>
      <x:c r="N384" s="16" t="n">
        <x:v>58.4</x:v>
      </x:c>
      <x:c r="O384" t="n">
        <x:v>6</x:v>
      </x:c>
      <x:c r="P384" t="n">
        <x:v>11</x:v>
      </x:c>
      <x:c r="Q384" s="18" t="n">
        <x:v>4500000</x:v>
      </x:c>
      <x:c r="R384" s="18" t="n">
        <x:f>IFERROR(Q384/N384,"")</x:f>
        <x:v>77054.79452054795</x:v>
      </x:c>
      <x:c r="S384" t="n">
        <x:v>1984</x:v>
      </x:c>
      <x:c r="T384" t="n">
        <x:v>42</x:v>
      </x:c>
      <x:c r="U384" t="str">
        <x:v>Good</x:v>
      </x:c>
      <x:c r="V384" s="16" t="n">
        <x:v>23.8</x:v>
      </x:c>
      <x:c r="W384" t="str">
        <x:v>East</x:v>
      </x:c>
      <x:c r="X384" t="n">
        <x:v>1</x:v>
      </x:c>
      <x:c r="Y384" s="16" t="n">
        <x:v>5.3</x:v>
      </x:c>
      <x:c r="Z384" s="1" t="b">
        <x:v>1</x:v>
      </x:c>
      <x:c r="AA384" t="str">
        <x:v>East, West</x:v>
      </x:c>
      <x:c r="AB384" s="16" t="n">
        <x:v>0</x:v>
      </x:c>
      <x:c r="AC384" s="16" t="n">
        <x:v>0</x:v>
      </x:c>
      <x:c r="AD384" s="1" t="b">
        <x:v>0</x:v>
      </x:c>
    </x:row>
    <x:row r="385">
      <x:c r="A385" t="str">
        <x:v>SYN-0384</x:v>
      </x:c>
      <x:c r="B385" s="12" t="n">
        <x:v>46219</x:v>
      </x:c>
      <x:c r="C385" t="str">
        <x:v>Synthetic Yad2-like Listing</x:v>
      </x:c>
      <x:c r="D385" t="str">
        <x:v>https://example.com/listings/SYN-0384</x:v>
      </x:c>
      <x:c r="E385" t="str">
        <x:v>Second Hand</x:v>
      </x:c>
      <x:c r="F385" t="str"/>
      <x:c r="G385" t="str"/>
      <x:c r="H385" t="str">
        <x:v>Pinkas 96, Tel Aviv</x:v>
      </x:c>
      <x:c r="I385" t="str">
        <x:v>Tel Aviv</x:v>
      </x:c>
      <x:c r="J385" t="str">
        <x:v>Kikar HaMedina / New North</x:v>
      </x:c>
      <x:c r="K385" s="14" t="n">
        <x:v>0.55</x:v>
      </x:c>
      <x:c r="L385" t="str">
        <x:v>Apartment</x:v>
      </x:c>
      <x:c r="M385" t="n">
        <x:v>3</x:v>
      </x:c>
      <x:c r="N385" s="16" t="n">
        <x:v>76.8</x:v>
      </x:c>
      <x:c r="O385" t="n">
        <x:v>11</x:v>
      </x:c>
      <x:c r="P385" t="n">
        <x:v>13</x:v>
      </x:c>
      <x:c r="Q385" s="18" t="n">
        <x:v>5740000</x:v>
      </x:c>
      <x:c r="R385" s="18" t="n">
        <x:f>IFERROR(Q385/N385,"")</x:f>
        <x:v>74739.58333333334</x:v>
      </x:c>
      <x:c r="S385" t="n">
        <x:v>1999</x:v>
      </x:c>
      <x:c r="T385" t="n">
        <x:v>27</x:v>
      </x:c>
      <x:c r="U385" t="str">
        <x:v>Renovated</x:v>
      </x:c>
      <x:c r="V385" s="16" t="n">
        <x:v>8.3</x:v>
      </x:c>
      <x:c r="W385" t="str">
        <x:v>South</x:v>
      </x:c>
      <x:c r="X385" t="n">
        <x:v>1</x:v>
      </x:c>
      <x:c r="Y385" s="16" t="n">
        <x:v>0</x:v>
      </x:c>
      <x:c r="Z385" s="1" t="b">
        <x:v>1</x:v>
      </x:c>
      <x:c r="AA385" t="str">
        <x:v>South, West</x:v>
      </x:c>
      <x:c r="AB385" s="16" t="n">
        <x:v>0</x:v>
      </x:c>
      <x:c r="AC385" s="16" t="n">
        <x:v>0</x:v>
      </x:c>
      <x:c r="AD385" s="1" t="b">
        <x:v>0</x:v>
      </x:c>
    </x:row>
    <x:row r="386">
      <x:c r="A386" t="str">
        <x:v>SYN-0385</x:v>
      </x:c>
      <x:c r="B386" s="12" t="n">
        <x:v>46255</x:v>
      </x:c>
      <x:c r="C386" t="str">
        <x:v>Synthetic Yad2-like Listing</x:v>
      </x:c>
      <x:c r="D386" t="str">
        <x:v>https://example.com/listings/SYN-0385</x:v>
      </x:c>
      <x:c r="E386" t="str">
        <x:v>Second Hand</x:v>
      </x:c>
      <x:c r="F386" t="str"/>
      <x:c r="G386" t="str"/>
      <x:c r="H386" t="str">
        <x:v>Jabotinsky 63, Tel Aviv</x:v>
      </x:c>
      <x:c r="I386" t="str">
        <x:v>Tel Aviv</x:v>
      </x:c>
      <x:c r="J386" t="str">
        <x:v>Kikar HaMedina / New North</x:v>
      </x:c>
      <x:c r="K386" s="14" t="n">
        <x:v>0.59</x:v>
      </x:c>
      <x:c r="L386" t="str">
        <x:v>Apartment</x:v>
      </x:c>
      <x:c r="M386" t="n">
        <x:v>4</x:v>
      </x:c>
      <x:c r="N386" s="16" t="n">
        <x:v>106.9</x:v>
      </x:c>
      <x:c r="O386" t="n">
        <x:v>11</x:v>
      </x:c>
      <x:c r="P386" t="n">
        <x:v>14</x:v>
      </x:c>
      <x:c r="Q386" s="18" t="n">
        <x:v>7510000</x:v>
      </x:c>
      <x:c r="R386" s="18" t="n">
        <x:f>IFERROR(Q386/N386,"")</x:f>
        <x:v>70252.57249766136</x:v>
      </x:c>
      <x:c r="S386" t="n">
        <x:v>1978</x:v>
      </x:c>
      <x:c r="T386" t="n">
        <x:v>48</x:v>
      </x:c>
      <x:c r="U386" t="str">
        <x:v>Good</x:v>
      </x:c>
      <x:c r="V386" s="16" t="n">
        <x:v>20.6</x:v>
      </x:c>
      <x:c r="W386" t="str">
        <x:v>North</x:v>
      </x:c>
      <x:c r="X386" t="n">
        <x:v>1</x:v>
      </x:c>
      <x:c r="Y386" s="16" t="n">
        <x:v>0</x:v>
      </x:c>
      <x:c r="Z386" s="1" t="b">
        <x:v>1</x:v>
      </x:c>
      <x:c r="AA386" t="str">
        <x:v>North, West</x:v>
      </x:c>
      <x:c r="AB386" s="16" t="n">
        <x:v>0</x:v>
      </x:c>
      <x:c r="AC386" s="16" t="n">
        <x:v>0</x:v>
      </x:c>
      <x:c r="AD386" s="1" t="b">
        <x:v>0</x:v>
      </x:c>
    </x:row>
    <x:row r="387">
      <x:c r="A387" t="str">
        <x:v>SYN-0386</x:v>
      </x:c>
      <x:c r="B387" s="12" t="n">
        <x:v>46231</x:v>
      </x:c>
      <x:c r="C387" t="str">
        <x:v>Synthetic Yad2-like Listing</x:v>
      </x:c>
      <x:c r="D387" t="str">
        <x:v>https://example.com/listings/SYN-0386</x:v>
      </x:c>
      <x:c r="E387" t="str">
        <x:v>Second Hand</x:v>
      </x:c>
      <x:c r="F387" t="str"/>
      <x:c r="G387" t="str"/>
      <x:c r="H387" t="str">
        <x:v>Pinkas 152, Tel Aviv</x:v>
      </x:c>
      <x:c r="I387" t="str">
        <x:v>Tel Aviv</x:v>
      </x:c>
      <x:c r="J387" t="str">
        <x:v>Kikar HaMedina / New North</x:v>
      </x:c>
      <x:c r="K387" s="14" t="n">
        <x:v>0.39</x:v>
      </x:c>
      <x:c r="L387" t="str">
        <x:v>Apartment</x:v>
      </x:c>
      <x:c r="M387" t="n">
        <x:v>4</x:v>
      </x:c>
      <x:c r="N387" s="16" t="n">
        <x:v>100.2</x:v>
      </x:c>
      <x:c r="O387" t="n">
        <x:v>6</x:v>
      </x:c>
      <x:c r="P387" t="n">
        <x:v>15</x:v>
      </x:c>
      <x:c r="Q387" s="18" t="n">
        <x:v>7120000</x:v>
      </x:c>
      <x:c r="R387" s="18" t="n">
        <x:f>IFERROR(Q387/N387,"")</x:f>
        <x:v>71057.88423153693</x:v>
      </x:c>
      <x:c r="S387" t="n">
        <x:v>1973</x:v>
      </x:c>
      <x:c r="T387" t="n">
        <x:v>53</x:v>
      </x:c>
      <x:c r="U387" t="str">
        <x:v>Renovated</x:v>
      </x:c>
      <x:c r="V387" s="16" t="n">
        <x:v>8.1</x:v>
      </x:c>
      <x:c r="W387" t="str">
        <x:v>South-West</x:v>
      </x:c>
      <x:c r="X387" t="n">
        <x:v>1</x:v>
      </x:c>
      <x:c r="Y387" s="16" t="n">
        <x:v>7.4</x:v>
      </x:c>
      <x:c r="Z387" s="1" t="b">
        <x:v>1</x:v>
      </x:c>
      <x:c r="AA387" t="str">
        <x:v>South-West, East</x:v>
      </x:c>
      <x:c r="AB387" s="16" t="n">
        <x:v>0</x:v>
      </x:c>
      <x:c r="AC387" s="16" t="n">
        <x:v>0</x:v>
      </x:c>
      <x:c r="AD387" s="1" t="b">
        <x:v>0</x:v>
      </x:c>
    </x:row>
    <x:row r="388">
      <x:c r="A388" t="str">
        <x:v>SYN-0387</x:v>
      </x:c>
      <x:c r="B388" s="12" t="n">
        <x:v>46254</x:v>
      </x:c>
      <x:c r="C388" t="str">
        <x:v>Synthetic Yad2-like Listing</x:v>
      </x:c>
      <x:c r="D388" t="str">
        <x:v>https://example.com/listings/SYN-0387</x:v>
      </x:c>
      <x:c r="E388" t="str">
        <x:v>Second Hand</x:v>
      </x:c>
      <x:c r="F388" t="str"/>
      <x:c r="G388" t="str"/>
      <x:c r="H388" t="str">
        <x:v>Biltmore 109, Tel Aviv</x:v>
      </x:c>
      <x:c r="I388" t="str">
        <x:v>Tel Aviv</x:v>
      </x:c>
      <x:c r="J388" t="str">
        <x:v>Kikar HaMedina / New North</x:v>
      </x:c>
      <x:c r="K388" s="14" t="n">
        <x:v>0.84</x:v>
      </x:c>
      <x:c r="L388" t="str">
        <x:v>Apartment</x:v>
      </x:c>
      <x:c r="M388" t="n">
        <x:v>3</x:v>
      </x:c>
      <x:c r="N388" s="16" t="n">
        <x:v>81.6</x:v>
      </x:c>
      <x:c r="O388" t="n">
        <x:v>3</x:v>
      </x:c>
      <x:c r="P388" t="n">
        <x:v>10</x:v>
      </x:c>
      <x:c r="Q388" s="18" t="n">
        <x:v>5490000</x:v>
      </x:c>
      <x:c r="R388" s="18" t="n">
        <x:f>IFERROR(Q388/N388,"")</x:f>
        <x:v>67279.41176470589</x:v>
      </x:c>
      <x:c r="S388" t="n">
        <x:v>2020</x:v>
      </x:c>
      <x:c r="T388" t="n">
        <x:v>6</x:v>
      </x:c>
      <x:c r="U388" t="str">
        <x:v>Needs Renovation</x:v>
      </x:c>
      <x:c r="V388" s="16" t="n">
        <x:v>12.6</x:v>
      </x:c>
      <x:c r="W388" t="str">
        <x:v>South-West</x:v>
      </x:c>
      <x:c r="X388" t="n">
        <x:v>0</x:v>
      </x:c>
      <x:c r="Y388" s="16" t="n">
        <x:v>9</x:v>
      </x:c>
      <x:c r="Z388" s="1" t="b">
        <x:v>1</x:v>
      </x:c>
      <x:c r="AA388" t="str">
        <x:v>South-West</x:v>
      </x:c>
      <x:c r="AB388" s="16" t="n">
        <x:v>0</x:v>
      </x:c>
      <x:c r="AC388" s="16" t="n">
        <x:v>0</x:v>
      </x:c>
      <x:c r="AD388" s="1" t="b">
        <x:v>0</x:v>
      </x:c>
    </x:row>
    <x:row r="389">
      <x:c r="A389" t="str">
        <x:v>SYN-0388</x:v>
      </x:c>
      <x:c r="B389" s="12" t="n">
        <x:v>46204</x:v>
      </x:c>
      <x:c r="C389" t="str">
        <x:v>Synthetic Yad2-like Listing</x:v>
      </x:c>
      <x:c r="D389" t="str">
        <x:v>https://example.com/listings/SYN-0388</x:v>
      </x:c>
      <x:c r="E389" t="str">
        <x:v>Second Hand</x:v>
      </x:c>
      <x:c r="F389" t="str"/>
      <x:c r="G389" t="str"/>
      <x:c r="H389" t="str">
        <x:v>Lissin 19, Tel Aviv</x:v>
      </x:c>
      <x:c r="I389" t="str">
        <x:v>Tel Aviv</x:v>
      </x:c>
      <x:c r="J389" t="str">
        <x:v>Kikar HaMedina / New North</x:v>
      </x:c>
      <x:c r="K389" s="14" t="n">
        <x:v>0.71</x:v>
      </x:c>
      <x:c r="L389" t="str">
        <x:v>Apartment</x:v>
      </x:c>
      <x:c r="M389" t="n">
        <x:v>4</x:v>
      </x:c>
      <x:c r="N389" s="16" t="n">
        <x:v>96.5</x:v>
      </x:c>
      <x:c r="O389" t="n">
        <x:v>1</x:v>
      </x:c>
      <x:c r="P389" t="n">
        <x:v>16</x:v>
      </x:c>
      <x:c r="Q389" s="18" t="n">
        <x:v>6790000</x:v>
      </x:c>
      <x:c r="R389" s="18" t="n">
        <x:f>IFERROR(Q389/N389,"")</x:f>
        <x:v>70362.69430051814</x:v>
      </x:c>
      <x:c r="S389" t="n">
        <x:v>1984</x:v>
      </x:c>
      <x:c r="T389" t="n">
        <x:v>42</x:v>
      </x:c>
      <x:c r="U389" t="str">
        <x:v>Good</x:v>
      </x:c>
      <x:c r="V389" s="16" t="n">
        <x:v>16.6</x:v>
      </x:c>
      <x:c r="W389" t="str">
        <x:v>East</x:v>
      </x:c>
      <x:c r="X389" t="n">
        <x:v>1</x:v>
      </x:c>
      <x:c r="Y389" s="16" t="n">
        <x:v>0</x:v>
      </x:c>
      <x:c r="Z389" s="1" t="b">
        <x:v>1</x:v>
      </x:c>
      <x:c r="AA389" t="str">
        <x:v>East, West</x:v>
      </x:c>
      <x:c r="AB389" s="16" t="n">
        <x:v>0</x:v>
      </x:c>
      <x:c r="AC389" s="16" t="n">
        <x:v>0</x:v>
      </x:c>
      <x:c r="AD389" s="1" t="b">
        <x:v>0</x:v>
      </x:c>
    </x:row>
    <x:row r="390">
      <x:c r="A390" t="str">
        <x:v>SYN-0389</x:v>
      </x:c>
      <x:c r="B390" s="12" t="n">
        <x:v>46252</x:v>
      </x:c>
      <x:c r="C390" t="str">
        <x:v>Synthetic New-Project Listing</x:v>
      </x:c>
      <x:c r="D390" t="str">
        <x:v>https://example.com/listings/SYN-0389</x:v>
      </x:c>
      <x:c r="E390" t="str">
        <x:v>New Project</x:v>
      </x:c>
      <x:c r="F390" t="str">
        <x:v>Medina Boutique</x:v>
      </x:c>
      <x:c r="G390" t="str">
        <x:v>Sample Development E</x:v>
      </x:c>
      <x:c r="H390" t="str">
        <x:v>Weizmann 32, Tel Aviv</x:v>
      </x:c>
      <x:c r="I390" t="str">
        <x:v>Tel Aviv</x:v>
      </x:c>
      <x:c r="J390" t="str">
        <x:v>Kikar HaMedina / New North</x:v>
      </x:c>
      <x:c r="K390" s="14" t="n">
        <x:v>0.23</x:v>
      </x:c>
      <x:c r="L390" t="str">
        <x:v>Apartment</x:v>
      </x:c>
      <x:c r="M390" t="n">
        <x:v>4</x:v>
      </x:c>
      <x:c r="N390" s="16" t="n">
        <x:v>102.5</x:v>
      </x:c>
      <x:c r="O390" t="n">
        <x:v>7</x:v>
      </x:c>
      <x:c r="P390" t="n">
        <x:v>14</x:v>
      </x:c>
      <x:c r="Q390" s="18" t="n">
        <x:v>7420000</x:v>
      </x:c>
      <x:c r="R390" s="18" t="n">
        <x:f>IFERROR(Q390/N390,"")</x:f>
        <x:v>72390.24390243902</x:v>
      </x:c>
      <x:c r="S390" t="n">
        <x:v>2027</x:v>
      </x:c>
      <x:c r="T390" t="n">
        <x:v>0</x:v>
      </x:c>
      <x:c r="U390" t="str">
        <x:v>New</x:v>
      </x:c>
      <x:c r="V390" s="16" t="n">
        <x:v>0</x:v>
      </x:c>
      <x:c r="W390" t="str"/>
      <x:c r="X390" t="n">
        <x:v>0</x:v>
      </x:c>
      <x:c r="Y390" s="16" t="n">
        <x:v>6.4</x:v>
      </x:c>
      <x:c r="Z390" s="1" t="b">
        <x:v>1</x:v>
      </x:c>
      <x:c r="AA390" t="str">
        <x:v>South</x:v>
      </x:c>
      <x:c r="AB390" s="16" t="n">
        <x:v>0</x:v>
      </x:c>
      <x:c r="AC390" s="16" t="n">
        <x:v>0</x:v>
      </x:c>
      <x:c r="AD390" s="1" t="b">
        <x:v>0</x:v>
      </x:c>
    </x:row>
    <x:row r="391">
      <x:c r="A391" t="str">
        <x:v>SYN-0390</x:v>
      </x:c>
      <x:c r="B391" s="12" t="n">
        <x:v>46241</x:v>
      </x:c>
      <x:c r="C391" t="str">
        <x:v>Synthetic Yad2-like Listing</x:v>
      </x:c>
      <x:c r="D391" t="str">
        <x:v>https://example.com/listings/SYN-0390</x:v>
      </x:c>
      <x:c r="E391" t="str">
        <x:v>Second Hand</x:v>
      </x:c>
      <x:c r="F391" t="str"/>
      <x:c r="G391" t="str"/>
      <x:c r="H391" t="str">
        <x:v>Pinkas 67, Tel Aviv</x:v>
      </x:c>
      <x:c r="I391" t="str">
        <x:v>Tel Aviv</x:v>
      </x:c>
      <x:c r="J391" t="str">
        <x:v>Kikar HaMedina / New North</x:v>
      </x:c>
      <x:c r="K391" s="14" t="n">
        <x:v>0.46</x:v>
      </x:c>
      <x:c r="L391" t="str">
        <x:v>Apartment</x:v>
      </x:c>
      <x:c r="M391" t="n">
        <x:v>4</x:v>
      </x:c>
      <x:c r="N391" s="16" t="n">
        <x:v>97.8</x:v>
      </x:c>
      <x:c r="O391" t="n">
        <x:v>11</x:v>
      </x:c>
      <x:c r="P391" t="n">
        <x:v>14</x:v>
      </x:c>
      <x:c r="Q391" s="18" t="n">
        <x:v>7560000</x:v>
      </x:c>
      <x:c r="R391" s="18" t="n">
        <x:f>IFERROR(Q391/N391,"")</x:f>
        <x:v>77300.61349693252</x:v>
      </x:c>
      <x:c r="S391" t="n">
        <x:v>2003</x:v>
      </x:c>
      <x:c r="T391" t="n">
        <x:v>23</x:v>
      </x:c>
      <x:c r="U391" t="str">
        <x:v>Renovated</x:v>
      </x:c>
      <x:c r="V391" s="16" t="n">
        <x:v>22.8</x:v>
      </x:c>
      <x:c r="W391" t="str">
        <x:v>West</x:v>
      </x:c>
      <x:c r="X391" t="n">
        <x:v>1</x:v>
      </x:c>
      <x:c r="Y391" s="16" t="n">
        <x:v>8.7</x:v>
      </x:c>
      <x:c r="Z391" s="1" t="b">
        <x:v>1</x:v>
      </x:c>
      <x:c r="AA391" t="str">
        <x:v>West, East</x:v>
      </x:c>
      <x:c r="AB391" s="16" t="n">
        <x:v>0</x:v>
      </x:c>
      <x:c r="AC391" s="16" t="n">
        <x:v>0</x:v>
      </x:c>
      <x:c r="AD391" s="1" t="b">
        <x:v>0</x:v>
      </x:c>
    </x:row>
    <x:row r="392">
      <x:c r="A392" t="str">
        <x:v>SYN-0391</x:v>
      </x:c>
      <x:c r="B392" s="12" t="n">
        <x:v>46209</x:v>
      </x:c>
      <x:c r="C392" t="str">
        <x:v>Synthetic Yad2-like Listing</x:v>
      </x:c>
      <x:c r="D392" t="str">
        <x:v>https://example.com/listings/SYN-0391</x:v>
      </x:c>
      <x:c r="E392" t="str">
        <x:v>Second Hand</x:v>
      </x:c>
      <x:c r="F392" t="str"/>
      <x:c r="G392" t="str"/>
      <x:c r="H392" t="str">
        <x:v>Klay 98, Tel Aviv</x:v>
      </x:c>
      <x:c r="I392" t="str">
        <x:v>Tel Aviv</x:v>
      </x:c>
      <x:c r="J392" t="str">
        <x:v>Kikar HaMedina / New North</x:v>
      </x:c>
      <x:c r="K392" s="14" t="n">
        <x:v>0.71</x:v>
      </x:c>
      <x:c r="L392" t="str">
        <x:v>Apartment</x:v>
      </x:c>
      <x:c r="M392" t="n">
        <x:v>5</x:v>
      </x:c>
      <x:c r="N392" s="16" t="n">
        <x:v>112.3</x:v>
      </x:c>
      <x:c r="O392" t="n">
        <x:v>12</x:v>
      </x:c>
      <x:c r="P392" t="n">
        <x:v>13</x:v>
      </x:c>
      <x:c r="Q392" s="18" t="n">
        <x:v>8440000</x:v>
      </x:c>
      <x:c r="R392" s="18" t="n">
        <x:f>IFERROR(Q392/N392,"")</x:f>
        <x:v>75155.83259127337</x:v>
      </x:c>
      <x:c r="S392" t="n">
        <x:v>1976</x:v>
      </x:c>
      <x:c r="T392" t="n">
        <x:v>50</x:v>
      </x:c>
      <x:c r="U392" t="str">
        <x:v>Good</x:v>
      </x:c>
      <x:c r="V392" s="16" t="n">
        <x:v>22.1</x:v>
      </x:c>
      <x:c r="W392" t="str">
        <x:v>South</x:v>
      </x:c>
      <x:c r="X392" t="n">
        <x:v>2</x:v>
      </x:c>
      <x:c r="Y392" s="16" t="n">
        <x:v>0</x:v>
      </x:c>
      <x:c r="Z392" s="1" t="b">
        <x:v>1</x:v>
      </x:c>
      <x:c r="AA392" t="str">
        <x:v>South</x:v>
      </x:c>
      <x:c r="AB392" s="16" t="n">
        <x:v>0</x:v>
      </x:c>
      <x:c r="AC392" s="16" t="n">
        <x:v>35.9</x:v>
      </x:c>
      <x:c r="AD392" s="1" t="b">
        <x:v>1</x:v>
      </x:c>
    </x:row>
    <x:row r="393">
      <x:c r="A393" t="str">
        <x:v>SYN-0392</x:v>
      </x:c>
      <x:c r="B393" s="12" t="n">
        <x:v>46215</x:v>
      </x:c>
      <x:c r="C393" t="str">
        <x:v>Synthetic New-Project Listing</x:v>
      </x:c>
      <x:c r="D393" t="str">
        <x:v>https://example.com/listings/SYN-0392</x:v>
      </x:c>
      <x:c r="E393" t="str">
        <x:v>New Project</x:v>
      </x:c>
      <x:c r="F393" t="str">
        <x:v>Kikar Residence</x:v>
      </x:c>
      <x:c r="G393" t="str">
        <x:v>Sample Development A</x:v>
      </x:c>
      <x:c r="H393" t="str">
        <x:v>Weizmann 18, Tel Aviv</x:v>
      </x:c>
      <x:c r="I393" t="str">
        <x:v>Tel Aviv</x:v>
      </x:c>
      <x:c r="J393" t="str">
        <x:v>Kikar HaMedina / New North</x:v>
      </x:c>
      <x:c r="K393" s="14" t="n">
        <x:v>0.23</x:v>
      </x:c>
      <x:c r="L393" t="str">
        <x:v>Apartment</x:v>
      </x:c>
      <x:c r="M393" t="n">
        <x:v>4</x:v>
      </x:c>
      <x:c r="N393" s="16" t="n">
        <x:v>104</x:v>
      </x:c>
      <x:c r="O393" t="n">
        <x:v>2</x:v>
      </x:c>
      <x:c r="P393" t="n">
        <x:v>8</x:v>
      </x:c>
      <x:c r="Q393" s="18" t="n">
        <x:v>8040000</x:v>
      </x:c>
      <x:c r="R393" s="18" t="n">
        <x:f>IFERROR(Q393/N393,"")</x:f>
        <x:v>77307.69230769231</x:v>
      </x:c>
      <x:c r="S393" t="n">
        <x:v>2026</x:v>
      </x:c>
      <x:c r="T393" t="n">
        <x:v>0</x:v>
      </x:c>
      <x:c r="U393" t="str">
        <x:v>New</x:v>
      </x:c>
      <x:c r="V393" s="16" t="n">
        <x:v>0</x:v>
      </x:c>
      <x:c r="W393" t="str"/>
      <x:c r="X393" t="n">
        <x:v>1</x:v>
      </x:c>
      <x:c r="Y393" s="16" t="n">
        <x:v>9.9</x:v>
      </x:c>
      <x:c r="Z393" s="1" t="b">
        <x:v>1</x:v>
      </x:c>
      <x:c r="AA393" t="str">
        <x:v>North-South</x:v>
      </x:c>
      <x:c r="AB393" s="16" t="n">
        <x:v>0</x:v>
      </x:c>
      <x:c r="AC393" s="16" t="n">
        <x:v>0</x:v>
      </x:c>
      <x:c r="AD393" s="1" t="b">
        <x:v>0</x:v>
      </x:c>
    </x:row>
    <x:row r="394">
      <x:c r="A394" t="str">
        <x:v>SYN-0393</x:v>
      </x:c>
      <x:c r="B394" s="12" t="n">
        <x:v>46225</x:v>
      </x:c>
      <x:c r="C394" t="str">
        <x:v>Synthetic New-Project Listing</x:v>
      </x:c>
      <x:c r="D394" t="str">
        <x:v>https://example.com/listings/SYN-0393</x:v>
      </x:c>
      <x:c r="E394" t="str">
        <x:v>New Project</x:v>
      </x:c>
      <x:c r="F394" t="str">
        <x:v>Helsinki Gardens</x:v>
      </x:c>
      <x:c r="G394" t="str">
        <x:v>Sample Development C</x:v>
      </x:c>
      <x:c r="H394" t="str">
        <x:v>Biltmore 28, Tel Aviv</x:v>
      </x:c>
      <x:c r="I394" t="str">
        <x:v>Tel Aviv</x:v>
      </x:c>
      <x:c r="J394" t="str">
        <x:v>Kikar HaMedina / New North</x:v>
      </x:c>
      <x:c r="K394" s="14" t="n">
        <x:v>0.74</x:v>
      </x:c>
      <x:c r="L394" t="str">
        <x:v>Apartment</x:v>
      </x:c>
      <x:c r="M394" t="n">
        <x:v>4</x:v>
      </x:c>
      <x:c r="N394" s="16" t="n">
        <x:v>92</x:v>
      </x:c>
      <x:c r="O394" t="n">
        <x:v>2</x:v>
      </x:c>
      <x:c r="P394" t="n">
        <x:v>12</x:v>
      </x:c>
      <x:c r="Q394" s="18" t="n">
        <x:v>7350000</x:v>
      </x:c>
      <x:c r="R394" s="18" t="n">
        <x:f>IFERROR(Q394/N394,"")</x:f>
        <x:v>79891.30434782608</x:v>
      </x:c>
      <x:c r="S394" t="n">
        <x:v>2025</x:v>
      </x:c>
      <x:c r="T394" t="n">
        <x:v>1</x:v>
      </x:c>
      <x:c r="U394" t="str">
        <x:v>New</x:v>
      </x:c>
      <x:c r="V394" s="16" t="n">
        <x:v>21</x:v>
      </x:c>
      <x:c r="W394" t="str">
        <x:v>East</x:v>
      </x:c>
      <x:c r="X394" t="n">
        <x:v>1</x:v>
      </x:c>
      <x:c r="Y394" s="16" t="n">
        <x:v>0</x:v>
      </x:c>
      <x:c r="Z394" s="1" t="b">
        <x:v>1</x:v>
      </x:c>
      <x:c r="AA394" t="str">
        <x:v>East, West</x:v>
      </x:c>
      <x:c r="AB394" s="16" t="n">
        <x:v>0</x:v>
      </x:c>
      <x:c r="AC394" s="16" t="n">
        <x:v>0</x:v>
      </x:c>
      <x:c r="AD394" s="1" t="b">
        <x:v>0</x:v>
      </x:c>
    </x:row>
    <x:row r="395">
      <x:c r="A395" t="str">
        <x:v>SYN-0394</x:v>
      </x:c>
      <x:c r="B395" s="12" t="n">
        <x:v>46224</x:v>
      </x:c>
      <x:c r="C395" t="str">
        <x:v>Synthetic New-Project Listing</x:v>
      </x:c>
      <x:c r="D395" t="str">
        <x:v>https://example.com/listings/SYN-0394</x:v>
      </x:c>
      <x:c r="E395" t="str">
        <x:v>New Project</x:v>
      </x:c>
      <x:c r="F395" t="str">
        <x:v>Medina Boutique</x:v>
      </x:c>
      <x:c r="G395" t="str">
        <x:v>Sample Development E</x:v>
      </x:c>
      <x:c r="H395" t="str">
        <x:v>Bavli 125, Tel Aviv</x:v>
      </x:c>
      <x:c r="I395" t="str">
        <x:v>Tel Aviv</x:v>
      </x:c>
      <x:c r="J395" t="str">
        <x:v>Kikar HaMedina / New North</x:v>
      </x:c>
      <x:c r="K395" s="14" t="n">
        <x:v>0.81</x:v>
      </x:c>
      <x:c r="L395" t="str">
        <x:v>Penthouse</x:v>
      </x:c>
      <x:c r="M395" t="n">
        <x:v>3</x:v>
      </x:c>
      <x:c r="N395" s="16" t="n">
        <x:v>76.2</x:v>
      </x:c>
      <x:c r="O395" t="n">
        <x:v>12</x:v>
      </x:c>
      <x:c r="P395" t="n">
        <x:v>13</x:v>
      </x:c>
      <x:c r="Q395" s="18" t="n">
        <x:v>7610000</x:v>
      </x:c>
      <x:c r="R395" s="18" t="n">
        <x:f>IFERROR(Q395/N395,"")</x:f>
        <x:v>99868.76640419947</x:v>
      </x:c>
      <x:c r="S395" t="n">
        <x:v>2027</x:v>
      </x:c>
      <x:c r="T395" t="n">
        <x:v>0</x:v>
      </x:c>
      <x:c r="U395" t="str">
        <x:v>New</x:v>
      </x:c>
      <x:c r="V395" s="16" t="n">
        <x:v>46.6</x:v>
      </x:c>
      <x:c r="W395" t="str">
        <x:v>North</x:v>
      </x:c>
      <x:c r="X395" t="n">
        <x:v>1</x:v>
      </x:c>
      <x:c r="Y395" s="16" t="n">
        <x:v>3.1</x:v>
      </x:c>
      <x:c r="Z395" s="1" t="b">
        <x:v>1</x:v>
      </x:c>
      <x:c r="AA395" t="str">
        <x:v>North, East</x:v>
      </x:c>
      <x:c r="AB395" s="16" t="n">
        <x:v>0</x:v>
      </x:c>
      <x:c r="AC395" s="16" t="n">
        <x:v>66.6</x:v>
      </x:c>
      <x:c r="AD395" s="1" t="b">
        <x:v>1</x:v>
      </x:c>
    </x:row>
    <x:row r="396">
      <x:c r="A396" t="str">
        <x:v>SYN-0395</x:v>
      </x:c>
      <x:c r="B396" s="12" t="n">
        <x:v>46230</x:v>
      </x:c>
      <x:c r="C396" t="str">
        <x:v>Synthetic Yad2-like Listing</x:v>
      </x:c>
      <x:c r="D396" t="str">
        <x:v>https://example.com/listings/SYN-0395</x:v>
      </x:c>
      <x:c r="E396" t="str">
        <x:v>Second Hand</x:v>
      </x:c>
      <x:c r="F396" t="str"/>
      <x:c r="G396" t="str"/>
      <x:c r="H396" t="str">
        <x:v>Klay 64, Tel Aviv</x:v>
      </x:c>
      <x:c r="I396" t="str">
        <x:v>Tel Aviv</x:v>
      </x:c>
      <x:c r="J396" t="str">
        <x:v>Kikar HaMedina / New North</x:v>
      </x:c>
      <x:c r="K396" s="14" t="n">
        <x:v>0.58</x:v>
      </x:c>
      <x:c r="L396" t="str">
        <x:v>Duplex</x:v>
      </x:c>
      <x:c r="M396" t="n">
        <x:v>5</x:v>
      </x:c>
      <x:c r="N396" s="16" t="n">
        <x:v>129.3</x:v>
      </x:c>
      <x:c r="O396" t="n">
        <x:v>6</x:v>
      </x:c>
      <x:c r="P396" t="n">
        <x:v>16</x:v>
      </x:c>
      <x:c r="Q396" s="18" t="n">
        <x:v>8960000</x:v>
      </x:c>
      <x:c r="R396" s="18" t="n">
        <x:f>IFERROR(Q396/N396,"")</x:f>
        <x:v>69296.21036349575</x:v>
      </x:c>
      <x:c r="S396" t="n">
        <x:v>1961</x:v>
      </x:c>
      <x:c r="T396" t="n">
        <x:v>65</x:v>
      </x:c>
      <x:c r="U396" t="str">
        <x:v>Good</x:v>
      </x:c>
      <x:c r="V396" s="16" t="n">
        <x:v>15.9</x:v>
      </x:c>
      <x:c r="W396" t="str">
        <x:v>South</x:v>
      </x:c>
      <x:c r="X396" t="n">
        <x:v>1</x:v>
      </x:c>
      <x:c r="Y396" s="16" t="n">
        <x:v>8.8</x:v>
      </x:c>
      <x:c r="Z396" s="1" t="b">
        <x:v>0</x:v>
      </x:c>
      <x:c r="AA396" t="str">
        <x:v>South, South</x:v>
      </x:c>
      <x:c r="AB396" s="16" t="n">
        <x:v>0</x:v>
      </x:c>
      <x:c r="AC396" s="16" t="n">
        <x:v>0</x:v>
      </x:c>
      <x:c r="AD396" s="1" t="b">
        <x:v>0</x:v>
      </x:c>
    </x:row>
    <x:row r="397">
      <x:c r="A397" t="str">
        <x:v>SYN-0396</x:v>
      </x:c>
      <x:c r="B397" s="12" t="n">
        <x:v>46234</x:v>
      </x:c>
      <x:c r="C397" t="str">
        <x:v>Synthetic Yad2-like Listing</x:v>
      </x:c>
      <x:c r="D397" t="str">
        <x:v>https://example.com/listings/SYN-0396</x:v>
      </x:c>
      <x:c r="E397" t="str">
        <x:v>Second Hand</x:v>
      </x:c>
      <x:c r="F397" t="str"/>
      <x:c r="G397" t="str"/>
      <x:c r="H397" t="str">
        <x:v>Biltmore 157, Tel Aviv</x:v>
      </x:c>
      <x:c r="I397" t="str">
        <x:v>Tel Aviv</x:v>
      </x:c>
      <x:c r="J397" t="str">
        <x:v>Kikar HaMedina / New North</x:v>
      </x:c>
      <x:c r="K397" s="14" t="n">
        <x:v>0.99</x:v>
      </x:c>
      <x:c r="L397" t="str">
        <x:v>Apartment</x:v>
      </x:c>
      <x:c r="M397" t="n">
        <x:v>2</x:v>
      </x:c>
      <x:c r="N397" s="16" t="n">
        <x:v>54.9</x:v>
      </x:c>
      <x:c r="O397" t="n">
        <x:v>5</x:v>
      </x:c>
      <x:c r="P397" t="n">
        <x:v>6</x:v>
      </x:c>
      <x:c r="Q397" s="18" t="n">
        <x:v>3430000</x:v>
      </x:c>
      <x:c r="R397" s="18" t="n">
        <x:f>IFERROR(Q397/N397,"")</x:f>
        <x:v>62477.231329690345</x:v>
      </x:c>
      <x:c r="S397" t="n">
        <x:v>1974</x:v>
      </x:c>
      <x:c r="T397" t="n">
        <x:v>52</x:v>
      </x:c>
      <x:c r="U397" t="str">
        <x:v>Good</x:v>
      </x:c>
      <x:c r="V397" s="16" t="n">
        <x:v>0</x:v>
      </x:c>
      <x:c r="W397" t="str"/>
      <x:c r="X397" t="n">
        <x:v>0</x:v>
      </x:c>
      <x:c r="Y397" s="16" t="n">
        <x:v>0</x:v>
      </x:c>
      <x:c r="Z397" s="1" t="b">
        <x:v>1</x:v>
      </x:c>
      <x:c r="AA397" t="str">
        <x:v>West</x:v>
      </x:c>
      <x:c r="AB397" s="16" t="n">
        <x:v>0</x:v>
      </x:c>
      <x:c r="AC397" s="16" t="n">
        <x:v>0</x:v>
      </x:c>
      <x:c r="AD397" s="1" t="b">
        <x:v>1</x:v>
      </x:c>
    </x:row>
    <x:row r="398">
      <x:c r="A398" t="str">
        <x:v>SYN-0397</x:v>
      </x:c>
      <x:c r="B398" s="12" t="n">
        <x:v>46209</x:v>
      </x:c>
      <x:c r="C398" t="str">
        <x:v>Synthetic Yad2-like Listing</x:v>
      </x:c>
      <x:c r="D398" t="str">
        <x:v>https://example.com/listings/SYN-0397</x:v>
      </x:c>
      <x:c r="E398" t="str">
        <x:v>Second Hand</x:v>
      </x:c>
      <x:c r="F398" t="str"/>
      <x:c r="G398" t="str"/>
      <x:c r="H398" t="str">
        <x:v>Lissin 139, Tel Aviv</x:v>
      </x:c>
      <x:c r="I398" t="str">
        <x:v>Tel Aviv</x:v>
      </x:c>
      <x:c r="J398" t="str">
        <x:v>Kikar HaMedina / New North</x:v>
      </x:c>
      <x:c r="K398" s="14" t="n">
        <x:v>0.74</x:v>
      </x:c>
      <x:c r="L398" t="str">
        <x:v>Apartment</x:v>
      </x:c>
      <x:c r="M398" t="n">
        <x:v>5</x:v>
      </x:c>
      <x:c r="N398" s="16" t="n">
        <x:v>135.5</x:v>
      </x:c>
      <x:c r="O398" t="n">
        <x:v>11</x:v>
      </x:c>
      <x:c r="P398" t="n">
        <x:v>15</x:v>
      </x:c>
      <x:c r="Q398" s="18" t="n">
        <x:v>9570000</x:v>
      </x:c>
      <x:c r="R398" s="18" t="n">
        <x:f>IFERROR(Q398/N398,"")</x:f>
        <x:v>70627.30627306273</x:v>
      </x:c>
      <x:c r="S398" t="n">
        <x:v>2015</x:v>
      </x:c>
      <x:c r="T398" t="n">
        <x:v>11</x:v>
      </x:c>
      <x:c r="U398" t="str">
        <x:v>Good</x:v>
      </x:c>
      <x:c r="V398" s="16" t="n">
        <x:v>11.4</x:v>
      </x:c>
      <x:c r="W398" t="str">
        <x:v>North</x:v>
      </x:c>
      <x:c r="X398" t="n">
        <x:v>1</x:v>
      </x:c>
      <x:c r="Y398" s="16" t="n">
        <x:v>7.7</x:v>
      </x:c>
      <x:c r="Z398" s="1" t="b">
        <x:v>1</x:v>
      </x:c>
      <x:c r="AA398" t="str">
        <x:v>North, West</x:v>
      </x:c>
      <x:c r="AB398" s="16" t="n">
        <x:v>0</x:v>
      </x:c>
      <x:c r="AC398" s="16" t="n">
        <x:v>0</x:v>
      </x:c>
      <x:c r="AD398" s="1" t="b">
        <x:v>0</x:v>
      </x:c>
    </x:row>
    <x:row r="399">
      <x:c r="A399" t="str">
        <x:v>SYN-0398</x:v>
      </x:c>
      <x:c r="B399" s="12" t="n">
        <x:v>46225</x:v>
      </x:c>
      <x:c r="C399" t="str">
        <x:v>Synthetic New-Project Listing</x:v>
      </x:c>
      <x:c r="D399" t="str">
        <x:v>https://example.com/listings/SYN-0398</x:v>
      </x:c>
      <x:c r="E399" t="str">
        <x:v>New Project</x:v>
      </x:c>
      <x:c r="F399" t="str">
        <x:v>North TLV Living</x:v>
      </x:c>
      <x:c r="G399" t="str">
        <x:v>Sample Development D</x:v>
      </x:c>
      <x:c r="H399" t="str">
        <x:v>Weizmann 178, Tel Aviv</x:v>
      </x:c>
      <x:c r="I399" t="str">
        <x:v>Tel Aviv</x:v>
      </x:c>
      <x:c r="J399" t="str">
        <x:v>Kikar HaMedina / New North</x:v>
      </x:c>
      <x:c r="K399" s="14" t="n">
        <x:v>0.22</x:v>
      </x:c>
      <x:c r="L399" t="str">
        <x:v>Apartment</x:v>
      </x:c>
      <x:c r="M399" t="n">
        <x:v>5</x:v>
      </x:c>
      <x:c r="N399" s="16" t="n">
        <x:v>112.8</x:v>
      </x:c>
      <x:c r="O399" t="n">
        <x:v>5</x:v>
      </x:c>
      <x:c r="P399" t="n">
        <x:v>12</x:v>
      </x:c>
      <x:c r="Q399" s="18" t="n">
        <x:v>8400000</x:v>
      </x:c>
      <x:c r="R399" s="18" t="n">
        <x:f>IFERROR(Q399/N399,"")</x:f>
        <x:v>74468.08510638298</x:v>
      </x:c>
      <x:c r="S399" t="n">
        <x:v>2027</x:v>
      </x:c>
      <x:c r="T399" t="n">
        <x:v>0</x:v>
      </x:c>
      <x:c r="U399" t="str">
        <x:v>New</x:v>
      </x:c>
      <x:c r="V399" s="16" t="n">
        <x:v>14.2</x:v>
      </x:c>
      <x:c r="W399" t="str">
        <x:v>South-West</x:v>
      </x:c>
      <x:c r="X399" t="n">
        <x:v>0</x:v>
      </x:c>
      <x:c r="Y399" s="16" t="n">
        <x:v>9.5</x:v>
      </x:c>
      <x:c r="Z399" s="1" t="b">
        <x:v>1</x:v>
      </x:c>
      <x:c r="AA399" t="str">
        <x:v>South-West, North</x:v>
      </x:c>
      <x:c r="AB399" s="16" t="n">
        <x:v>0</x:v>
      </x:c>
      <x:c r="AC399" s="16" t="n">
        <x:v>0</x:v>
      </x:c>
      <x:c r="AD399" s="1" t="b">
        <x:v>0</x:v>
      </x:c>
    </x:row>
    <x:row r="400">
      <x:c r="A400" t="str">
        <x:v>SYN-0399</x:v>
      </x:c>
      <x:c r="B400" s="12" t="n">
        <x:v>46223</x:v>
      </x:c>
      <x:c r="C400" t="str">
        <x:v>Synthetic New-Project Listing</x:v>
      </x:c>
      <x:c r="D400" t="str">
        <x:v>https://example.com/listings/SYN-0399</x:v>
      </x:c>
      <x:c r="E400" t="str">
        <x:v>New Project</x:v>
      </x:c>
      <x:c r="F400" t="str">
        <x:v>Helsinki Gardens</x:v>
      </x:c>
      <x:c r="G400" t="str">
        <x:v>Sample Development C</x:v>
      </x:c>
      <x:c r="H400" t="str">
        <x:v>Epstein 30, Tel Aviv</x:v>
      </x:c>
      <x:c r="I400" t="str">
        <x:v>Tel Aviv</x:v>
      </x:c>
      <x:c r="J400" t="str">
        <x:v>Kikar HaMedina / New North</x:v>
      </x:c>
      <x:c r="K400" s="14" t="n">
        <x:v>0.97</x:v>
      </x:c>
      <x:c r="L400" t="str">
        <x:v>Apartment</x:v>
      </x:c>
      <x:c r="M400" t="n">
        <x:v>4</x:v>
      </x:c>
      <x:c r="N400" s="16" t="n">
        <x:v>102.7</x:v>
      </x:c>
      <x:c r="O400" t="n">
        <x:v>6</x:v>
      </x:c>
      <x:c r="P400" t="n">
        <x:v>17</x:v>
      </x:c>
      <x:c r="Q400" s="18" t="n">
        <x:v>8360000</x:v>
      </x:c>
      <x:c r="R400" s="18" t="n">
        <x:f>IFERROR(Q400/N400,"")</x:f>
        <x:v>81402.14216163583</x:v>
      </x:c>
      <x:c r="S400" t="n">
        <x:v>2025</x:v>
      </x:c>
      <x:c r="T400" t="n">
        <x:v>1</x:v>
      </x:c>
      <x:c r="U400" t="str">
        <x:v>New</x:v>
      </x:c>
      <x:c r="V400" s="16" t="n">
        <x:v>21.7</x:v>
      </x:c>
      <x:c r="W400" t="str">
        <x:v>West</x:v>
      </x:c>
      <x:c r="X400" t="n">
        <x:v>1</x:v>
      </x:c>
      <x:c r="Y400" s="16" t="n">
        <x:v>3.6</x:v>
      </x:c>
      <x:c r="Z400" s="1" t="b">
        <x:v>1</x:v>
      </x:c>
      <x:c r="AA400" t="str">
        <x:v>West, North</x:v>
      </x:c>
      <x:c r="AB400" s="16" t="n">
        <x:v>0</x:v>
      </x:c>
      <x:c r="AC400" s="16" t="n">
        <x:v>0</x:v>
      </x:c>
      <x:c r="AD400" s="1" t="b">
        <x:v>0</x:v>
      </x:c>
    </x:row>
    <x:row r="401">
      <x:c r="A401" t="str">
        <x:v>SYN-0400</x:v>
      </x:c>
      <x:c r="B401" s="12" t="n">
        <x:v>46213</x:v>
      </x:c>
      <x:c r="C401" t="str">
        <x:v>Synthetic New-Project Listing</x:v>
      </x:c>
      <x:c r="D401" t="str">
        <x:v>https://example.com/listings/SYN-0400</x:v>
      </x:c>
      <x:c r="E401" t="str">
        <x:v>New Project</x:v>
      </x:c>
      <x:c r="F401" t="str">
        <x:v>Kikar Residence</x:v>
      </x:c>
      <x:c r="G401" t="str">
        <x:v>Sample Development A</x:v>
      </x:c>
      <x:c r="H401" t="str">
        <x:v>Klay 118, Tel Aviv</x:v>
      </x:c>
      <x:c r="I401" t="str">
        <x:v>Tel Aviv</x:v>
      </x:c>
      <x:c r="J401" t="str">
        <x:v>Kikar HaMedina / New North</x:v>
      </x:c>
      <x:c r="K401" s="14" t="n">
        <x:v>0.55</x:v>
      </x:c>
      <x:c r="L401" t="str">
        <x:v>Apartment</x:v>
      </x:c>
      <x:c r="M401" t="n">
        <x:v>4</x:v>
      </x:c>
      <x:c r="N401" s="16" t="n">
        <x:v>104.9</x:v>
      </x:c>
      <x:c r="O401" t="n">
        <x:v>6</x:v>
      </x:c>
      <x:c r="P401" t="n">
        <x:v>12</x:v>
      </x:c>
      <x:c r="Q401" s="18" t="n">
        <x:v>8560000</x:v>
      </x:c>
      <x:c r="R401" s="18" t="n">
        <x:f>IFERROR(Q401/N401,"")</x:f>
        <x:v>81601.52526215444</x:v>
      </x:c>
      <x:c r="S401" t="n">
        <x:v>2026</x:v>
      </x:c>
      <x:c r="T401" t="n">
        <x:v>0</x:v>
      </x:c>
      <x:c r="U401" t="str">
        <x:v>New</x:v>
      </x:c>
      <x:c r="V401" s="16" t="n">
        <x:v>22.9</x:v>
      </x:c>
      <x:c r="W401" t="str">
        <x:v>East</x:v>
      </x:c>
      <x:c r="X401" t="n">
        <x:v>1</x:v>
      </x:c>
      <x:c r="Y401" s="16" t="n">
        <x:v>4.6</x:v>
      </x:c>
      <x:c r="Z401" s="1" t="b">
        <x:v>1</x:v>
      </x:c>
      <x:c r="AA401" t="str">
        <x:v>East, South</x:v>
      </x:c>
      <x:c r="AB401" s="16" t="n">
        <x:v>0</x:v>
      </x:c>
      <x:c r="AC401" s="16" t="n">
        <x:v>0</x:v>
      </x:c>
      <x:c r="AD401" s="1" t="b">
        <x:v>0</x:v>
      </x:c>
    </x:row>
    <x:row r="402">
      <x:c r="A402" t="str">
        <x:v>SYN-0401</x:v>
      </x:c>
      <x:c r="B402" s="12" t="n">
        <x:v>46250</x:v>
      </x:c>
      <x:c r="C402" t="str">
        <x:v>Synthetic Yad2-like Listing</x:v>
      </x:c>
      <x:c r="D402" t="str">
        <x:v>https://example.com/listings/SYN-0401</x:v>
      </x:c>
      <x:c r="E402" t="str">
        <x:v>Second Hand</x:v>
      </x:c>
      <x:c r="F402" t="str"/>
      <x:c r="G402" t="str"/>
      <x:c r="H402" t="str">
        <x:v>Lissin 16, Tel Aviv</x:v>
      </x:c>
      <x:c r="I402" t="str">
        <x:v>Tel Aviv</x:v>
      </x:c>
      <x:c r="J402" t="str">
        <x:v>Kikar HaMedina / New North</x:v>
      </x:c>
      <x:c r="K402" s="14" t="n">
        <x:v>0.6</x:v>
      </x:c>
      <x:c r="L402" t="str">
        <x:v>Duplex</x:v>
      </x:c>
      <x:c r="M402" t="n">
        <x:v>2</x:v>
      </x:c>
      <x:c r="N402" s="16" t="n">
        <x:v>55.3</x:v>
      </x:c>
      <x:c r="O402" t="n">
        <x:v>12</x:v>
      </x:c>
      <x:c r="P402" t="n">
        <x:v>18</x:v>
      </x:c>
      <x:c r="Q402" s="18" t="n">
        <x:v>4380000</x:v>
      </x:c>
      <x:c r="R402" s="18" t="n">
        <x:f>IFERROR(Q402/N402,"")</x:f>
        <x:v>79204.33996383364</x:v>
      </x:c>
      <x:c r="S402" t="n">
        <x:v>2000</x:v>
      </x:c>
      <x:c r="T402" t="n">
        <x:v>26</x:v>
      </x:c>
      <x:c r="U402" t="str">
        <x:v>Good</x:v>
      </x:c>
      <x:c r="V402" s="16" t="n">
        <x:v>16</x:v>
      </x:c>
      <x:c r="W402" t="str">
        <x:v>South</x:v>
      </x:c>
      <x:c r="X402" t="n">
        <x:v>1</x:v>
      </x:c>
      <x:c r="Y402" s="16" t="n">
        <x:v>0</x:v>
      </x:c>
      <x:c r="Z402" s="1" t="b">
        <x:v>1</x:v>
      </x:c>
      <x:c r="AA402" t="str">
        <x:v>South, East</x:v>
      </x:c>
      <x:c r="AB402" s="16" t="n">
        <x:v>0</x:v>
      </x:c>
      <x:c r="AC402" s="16" t="n">
        <x:v>0</x:v>
      </x:c>
      <x:c r="AD402" s="1" t="b">
        <x:v>0</x:v>
      </x:c>
    </x:row>
    <x:row r="403">
      <x:c r="A403" t="str">
        <x:v>SYN-0402</x:v>
      </x:c>
      <x:c r="B403" s="12" t="n">
        <x:v>46216</x:v>
      </x:c>
      <x:c r="C403" t="str">
        <x:v>Synthetic Yad2-like Listing</x:v>
      </x:c>
      <x:c r="D403" t="str">
        <x:v>https://example.com/listings/SYN-0402</x:v>
      </x:c>
      <x:c r="E403" t="str">
        <x:v>Second Hand</x:v>
      </x:c>
      <x:c r="F403" t="str"/>
      <x:c r="G403" t="str"/>
      <x:c r="H403" t="str">
        <x:v>Mosenzon 101, Tel Aviv</x:v>
      </x:c>
      <x:c r="I403" t="str">
        <x:v>Tel Aviv</x:v>
      </x:c>
      <x:c r="J403" t="str">
        <x:v>Kikar HaMedina / New North</x:v>
      </x:c>
      <x:c r="K403" s="14" t="n">
        <x:v>0.99</x:v>
      </x:c>
      <x:c r="L403" t="str">
        <x:v>Apartment</x:v>
      </x:c>
      <x:c r="M403" t="n">
        <x:v>3</x:v>
      </x:c>
      <x:c r="N403" s="16" t="n">
        <x:v>81.9</x:v>
      </x:c>
      <x:c r="O403" t="n">
        <x:v>12</x:v>
      </x:c>
      <x:c r="P403" t="n">
        <x:v>14</x:v>
      </x:c>
      <x:c r="Q403" s="18" t="n">
        <x:v>5830000</x:v>
      </x:c>
      <x:c r="R403" s="18" t="n">
        <x:f>IFERROR(Q403/N403,"")</x:f>
        <x:v>71184.37118437118</x:v>
      </x:c>
      <x:c r="S403" t="n">
        <x:v>2003</x:v>
      </x:c>
      <x:c r="T403" t="n">
        <x:v>23</x:v>
      </x:c>
      <x:c r="U403" t="str">
        <x:v>Good</x:v>
      </x:c>
      <x:c r="V403" s="16" t="n">
        <x:v>21</x:v>
      </x:c>
      <x:c r="W403" t="str">
        <x:v>East</x:v>
      </x:c>
      <x:c r="X403" t="n">
        <x:v>0</x:v>
      </x:c>
      <x:c r="Y403" s="16" t="n">
        <x:v>0</x:v>
      </x:c>
      <x:c r="Z403" s="1" t="b">
        <x:v>1</x:v>
      </x:c>
      <x:c r="AA403" t="str">
        <x:v>East</x:v>
      </x:c>
      <x:c r="AB403" s="16" t="n">
        <x:v>0</x:v>
      </x:c>
      <x:c r="AC403" s="16" t="n">
        <x:v>0</x:v>
      </x:c>
      <x:c r="AD403" s="1" t="b">
        <x:v>0</x:v>
      </x:c>
    </x:row>
    <x:row r="404">
      <x:c r="A404" t="str">
        <x:v>SYN-0403</x:v>
      </x:c>
      <x:c r="B404" s="12" t="n">
        <x:v>46227</x:v>
      </x:c>
      <x:c r="C404" t="str">
        <x:v>Synthetic Yad2-like Listing</x:v>
      </x:c>
      <x:c r="D404" t="str">
        <x:v>https://example.com/listings/SYN-0403</x:v>
      </x:c>
      <x:c r="E404" t="str">
        <x:v>Second Hand</x:v>
      </x:c>
      <x:c r="F404" t="str"/>
      <x:c r="G404" t="str"/>
      <x:c r="H404" t="str">
        <x:v>Pinkas 38, Tel Aviv</x:v>
      </x:c>
      <x:c r="I404" t="str">
        <x:v>Tel Aviv</x:v>
      </x:c>
      <x:c r="J404" t="str">
        <x:v>Kikar HaMedina / New North</x:v>
      </x:c>
      <x:c r="K404" s="14" t="n">
        <x:v>0.36</x:v>
      </x:c>
      <x:c r="L404" t="str">
        <x:v>Apartment</x:v>
      </x:c>
      <x:c r="M404" t="n">
        <x:v>4</x:v>
      </x:c>
      <x:c r="N404" s="16" t="n">
        <x:v>89.9</x:v>
      </x:c>
      <x:c r="O404" t="n">
        <x:v>5</x:v>
      </x:c>
      <x:c r="P404" t="n">
        <x:v>18</x:v>
      </x:c>
      <x:c r="Q404" s="18" t="n">
        <x:v>6440000</x:v>
      </x:c>
      <x:c r="R404" s="18" t="n">
        <x:f>IFERROR(Q404/N404,"")</x:f>
        <x:v>71635.15016685205</x:v>
      </x:c>
      <x:c r="S404" t="n">
        <x:v>2001</x:v>
      </x:c>
      <x:c r="T404" t="n">
        <x:v>25</x:v>
      </x:c>
      <x:c r="U404" t="str">
        <x:v>Renovated</x:v>
      </x:c>
      <x:c r="V404" s="16" t="n">
        <x:v>0</x:v>
      </x:c>
      <x:c r="W404" t="str"/>
      <x:c r="X404" t="n">
        <x:v>1</x:v>
      </x:c>
      <x:c r="Y404" s="16" t="n">
        <x:v>0</x:v>
      </x:c>
      <x:c r="Z404" s="1" t="b">
        <x:v>1</x:v>
      </x:c>
      <x:c r="AA404" t="str">
        <x:v>North-East</x:v>
      </x:c>
      <x:c r="AB404" s="16" t="n">
        <x:v>0</x:v>
      </x:c>
      <x:c r="AC404" s="16" t="n">
        <x:v>0</x:v>
      </x:c>
      <x:c r="AD404" s="1" t="b">
        <x:v>0</x:v>
      </x:c>
    </x:row>
    <x:row r="405">
      <x:c r="A405" t="str">
        <x:v>SYN-0404</x:v>
      </x:c>
      <x:c r="B405" s="12" t="n">
        <x:v>46219</x:v>
      </x:c>
      <x:c r="C405" t="str">
        <x:v>Synthetic Yad2-like Listing</x:v>
      </x:c>
      <x:c r="D405" t="str">
        <x:v>https://example.com/listings/SYN-0404</x:v>
      </x:c>
      <x:c r="E405" t="str">
        <x:v>Second Hand</x:v>
      </x:c>
      <x:c r="F405" t="str"/>
      <x:c r="G405" t="str"/>
      <x:c r="H405" t="str">
        <x:v>Klay 167, Tel Aviv</x:v>
      </x:c>
      <x:c r="I405" t="str">
        <x:v>Tel Aviv</x:v>
      </x:c>
      <x:c r="J405" t="str">
        <x:v>Kikar HaMedina / New North</x:v>
      </x:c>
      <x:c r="K405" s="14" t="n">
        <x:v>0.63</x:v>
      </x:c>
      <x:c r="L405" t="str">
        <x:v>Apartment</x:v>
      </x:c>
      <x:c r="M405" t="n">
        <x:v>4</x:v>
      </x:c>
      <x:c r="N405" s="16" t="n">
        <x:v>101.6</x:v>
      </x:c>
      <x:c r="O405" t="n">
        <x:v>2</x:v>
      </x:c>
      <x:c r="P405" t="n">
        <x:v>10</x:v>
      </x:c>
      <x:c r="Q405" s="18" t="n">
        <x:v>7150000</x:v>
      </x:c>
      <x:c r="R405" s="18" t="n">
        <x:f>IFERROR(Q405/N405,"")</x:f>
        <x:v>70374.0157480315</x:v>
      </x:c>
      <x:c r="S405" t="n">
        <x:v>1963</x:v>
      </x:c>
      <x:c r="T405" t="n">
        <x:v>63</x:v>
      </x:c>
      <x:c r="U405" t="str">
        <x:v>Renovated</x:v>
      </x:c>
      <x:c r="V405" s="16" t="n">
        <x:v>21.5</x:v>
      </x:c>
      <x:c r="W405" t="str">
        <x:v>North</x:v>
      </x:c>
      <x:c r="X405" t="n">
        <x:v>1</x:v>
      </x:c>
      <x:c r="Y405" s="16" t="n">
        <x:v>0</x:v>
      </x:c>
      <x:c r="Z405" s="1" t="b">
        <x:v>1</x:v>
      </x:c>
      <x:c r="AA405" t="str">
        <x:v>North</x:v>
      </x:c>
      <x:c r="AB405" s="16" t="n">
        <x:v>0</x:v>
      </x:c>
      <x:c r="AC405" s="16" t="n">
        <x:v>0</x:v>
      </x:c>
      <x:c r="AD405" s="1" t="b">
        <x:v>0</x:v>
      </x:c>
    </x:row>
    <x:row r="406">
      <x:c r="A406" t="str">
        <x:v>SYN-0405</x:v>
      </x:c>
      <x:c r="B406" s="12" t="n">
        <x:v>46205</x:v>
      </x:c>
      <x:c r="C406" t="str">
        <x:v>Synthetic New-Project Listing</x:v>
      </x:c>
      <x:c r="D406" t="str">
        <x:v>https://example.com/listings/SYN-0405</x:v>
      </x:c>
      <x:c r="E406" t="str">
        <x:v>New Project</x:v>
      </x:c>
      <x:c r="F406" t="str">
        <x:v>North TLV Living</x:v>
      </x:c>
      <x:c r="G406" t="str">
        <x:v>Sample Development D</x:v>
      </x:c>
      <x:c r="H406" t="str">
        <x:v>Bavli 3, Tel Aviv</x:v>
      </x:c>
      <x:c r="I406" t="str">
        <x:v>Tel Aviv</x:v>
      </x:c>
      <x:c r="J406" t="str">
        <x:v>Kikar HaMedina / New North</x:v>
      </x:c>
      <x:c r="K406" s="14" t="n">
        <x:v>0.69</x:v>
      </x:c>
      <x:c r="L406" t="str">
        <x:v>Apartment</x:v>
      </x:c>
      <x:c r="M406" t="n">
        <x:v>3</x:v>
      </x:c>
      <x:c r="N406" s="16" t="n">
        <x:v>76.2</x:v>
      </x:c>
      <x:c r="O406" t="n">
        <x:v>11</x:v>
      </x:c>
      <x:c r="P406" t="n">
        <x:v>16</x:v>
      </x:c>
      <x:c r="Q406" s="18" t="n">
        <x:v>6080000</x:v>
      </x:c>
      <x:c r="R406" s="18" t="n">
        <x:f>IFERROR(Q406/N406,"")</x:f>
        <x:v>79790.02624671916</x:v>
      </x:c>
      <x:c r="S406" t="n">
        <x:v>2027</x:v>
      </x:c>
      <x:c r="T406" t="n">
        <x:v>0</x:v>
      </x:c>
      <x:c r="U406" t="str">
        <x:v>New</x:v>
      </x:c>
      <x:c r="V406" s="16" t="n">
        <x:v>14</x:v>
      </x:c>
      <x:c r="W406" t="str">
        <x:v>South</x:v>
      </x:c>
      <x:c r="X406" t="n">
        <x:v>1</x:v>
      </x:c>
      <x:c r="Y406" s="16" t="n">
        <x:v>0</x:v>
      </x:c>
      <x:c r="Z406" s="1" t="b">
        <x:v>1</x:v>
      </x:c>
      <x:c r="AA406" t="str">
        <x:v>South</x:v>
      </x:c>
      <x:c r="AB406" s="16" t="n">
        <x:v>0</x:v>
      </x:c>
      <x:c r="AC406" s="16" t="n">
        <x:v>0</x:v>
      </x:c>
      <x:c r="AD406" s="1" t="b">
        <x:v>0</x:v>
      </x:c>
    </x:row>
    <x:row r="407">
      <x:c r="A407" t="str">
        <x:v>SYN-0406</x:v>
      </x:c>
      <x:c r="B407" s="12" t="n">
        <x:v>46237</x:v>
      </x:c>
      <x:c r="C407" t="str">
        <x:v>Synthetic Yad2-like Listing</x:v>
      </x:c>
      <x:c r="D407" t="str">
        <x:v>https://example.com/listings/SYN-0406</x:v>
      </x:c>
      <x:c r="E407" t="str">
        <x:v>Second Hand</x:v>
      </x:c>
      <x:c r="F407" t="str"/>
      <x:c r="G407" t="str"/>
      <x:c r="H407" t="str">
        <x:v>Helsinki 101, Tel Aviv</x:v>
      </x:c>
      <x:c r="I407" t="str">
        <x:v>Tel Aviv</x:v>
      </x:c>
      <x:c r="J407" t="str">
        <x:v>Kikar HaMedina / New North</x:v>
      </x:c>
      <x:c r="K407" s="14" t="n">
        <x:v>0.05</x:v>
      </x:c>
      <x:c r="L407" t="str">
        <x:v>Apartment</x:v>
      </x:c>
      <x:c r="M407" t="n">
        <x:v>5</x:v>
      </x:c>
      <x:c r="N407" s="16" t="n">
        <x:v>124.5</x:v>
      </x:c>
      <x:c r="O407" t="n">
        <x:v>11</x:v>
      </x:c>
      <x:c r="P407" t="n">
        <x:v>17</x:v>
      </x:c>
      <x:c r="Q407" s="18" t="n">
        <x:v>9640000</x:v>
      </x:c>
      <x:c r="R407" s="18" t="n">
        <x:f>IFERROR(Q407/N407,"")</x:f>
        <x:v>77429.718875502</x:v>
      </x:c>
      <x:c r="S407" t="n">
        <x:v>1994</x:v>
      </x:c>
      <x:c r="T407" t="n">
        <x:v>32</x:v>
      </x:c>
      <x:c r="U407" t="str">
        <x:v>Renovated</x:v>
      </x:c>
      <x:c r="V407" s="16" t="n">
        <x:v>17.2</x:v>
      </x:c>
      <x:c r="W407" t="str">
        <x:v>South-East</x:v>
      </x:c>
      <x:c r="X407" t="n">
        <x:v>2</x:v>
      </x:c>
      <x:c r="Y407" s="16" t="n">
        <x:v>8</x:v>
      </x:c>
      <x:c r="Z407" s="1" t="b">
        <x:v>1</x:v>
      </x:c>
      <x:c r="AA407" t="str">
        <x:v>South-East, South</x:v>
      </x:c>
      <x:c r="AB407" s="16" t="n">
        <x:v>0</x:v>
      </x:c>
      <x:c r="AC407" s="16" t="n">
        <x:v>0</x:v>
      </x:c>
      <x:c r="AD407" s="1" t="b">
        <x:v>0</x:v>
      </x:c>
    </x:row>
    <x:row r="408">
      <x:c r="A408" t="str">
        <x:v>SYN-0407</x:v>
      </x:c>
      <x:c r="B408" s="12" t="n">
        <x:v>46227</x:v>
      </x:c>
      <x:c r="C408" t="str">
        <x:v>Synthetic Yad2-like Listing</x:v>
      </x:c>
      <x:c r="D408" t="str">
        <x:v>https://example.com/listings/SYN-0407</x:v>
      </x:c>
      <x:c r="E408" t="str">
        <x:v>Second Hand</x:v>
      </x:c>
      <x:c r="F408" t="str"/>
      <x:c r="G408" t="str"/>
      <x:c r="H408" t="str">
        <x:v>Jabotinsky 66, Tel Aviv</x:v>
      </x:c>
      <x:c r="I408" t="str">
        <x:v>Tel Aviv</x:v>
      </x:c>
      <x:c r="J408" t="str">
        <x:v>Kikar HaMedina / New North</x:v>
      </x:c>
      <x:c r="K408" s="14" t="n">
        <x:v>0.53</x:v>
      </x:c>
      <x:c r="L408" t="str">
        <x:v>Apartment</x:v>
      </x:c>
      <x:c r="M408" t="n">
        <x:v>4</x:v>
      </x:c>
      <x:c r="N408" s="16" t="n">
        <x:v>104.4</x:v>
      </x:c>
      <x:c r="O408" t="n">
        <x:v>10</x:v>
      </x:c>
      <x:c r="P408" t="n">
        <x:v>12</x:v>
      </x:c>
      <x:c r="Q408" s="18" t="n">
        <x:v>7150000</x:v>
      </x:c>
      <x:c r="R408" s="18" t="n">
        <x:f>IFERROR(Q408/N408,"")</x:f>
        <x:v>68486.59003831417</x:v>
      </x:c>
      <x:c r="S408" t="n">
        <x:v>1962</x:v>
      </x:c>
      <x:c r="T408" t="n">
        <x:v>64</x:v>
      </x:c>
      <x:c r="U408" t="str">
        <x:v>Renovated</x:v>
      </x:c>
      <x:c r="V408" s="16" t="n">
        <x:v>9.9</x:v>
      </x:c>
      <x:c r="W408" t="str">
        <x:v>East</x:v>
      </x:c>
      <x:c r="X408" t="n">
        <x:v>1</x:v>
      </x:c>
      <x:c r="Y408" s="16" t="n">
        <x:v>0</x:v>
      </x:c>
      <x:c r="Z408" s="1" t="b">
        <x:v>1</x:v>
      </x:c>
      <x:c r="AA408" t="str">
        <x:v>East</x:v>
      </x:c>
      <x:c r="AB408" s="16" t="n">
        <x:v>0</x:v>
      </x:c>
      <x:c r="AC408" s="16" t="n">
        <x:v>0</x:v>
      </x:c>
      <x:c r="AD408" s="1" t="b">
        <x:v>0</x:v>
      </x:c>
    </x:row>
    <x:row r="409">
      <x:c r="A409" t="str">
        <x:v>SYN-0408</x:v>
      </x:c>
      <x:c r="B409" s="12" t="n">
        <x:v>46206</x:v>
      </x:c>
      <x:c r="C409" t="str">
        <x:v>Synthetic Yad2-like Listing</x:v>
      </x:c>
      <x:c r="D409" t="str">
        <x:v>https://example.com/listings/SYN-0408</x:v>
      </x:c>
      <x:c r="E409" t="str">
        <x:v>Second Hand</x:v>
      </x:c>
      <x:c r="F409" t="str"/>
      <x:c r="G409" t="str"/>
      <x:c r="H409" t="str">
        <x:v>Klay 91, Tel Aviv</x:v>
      </x:c>
      <x:c r="I409" t="str">
        <x:v>Tel Aviv</x:v>
      </x:c>
      <x:c r="J409" t="str">
        <x:v>Kikar HaMedina / New North</x:v>
      </x:c>
      <x:c r="K409" s="14" t="n">
        <x:v>0.57</x:v>
      </x:c>
      <x:c r="L409" t="str">
        <x:v>Duplex</x:v>
      </x:c>
      <x:c r="M409" t="n">
        <x:v>2</x:v>
      </x:c>
      <x:c r="N409" s="16" t="n">
        <x:v>59.7</x:v>
      </x:c>
      <x:c r="O409" t="n">
        <x:v>10</x:v>
      </x:c>
      <x:c r="P409" t="n">
        <x:v>11</x:v>
      </x:c>
      <x:c r="Q409" s="18" t="n">
        <x:v>4120000</x:v>
      </x:c>
      <x:c r="R409" s="18" t="n">
        <x:f>IFERROR(Q409/N409,"")</x:f>
        <x:v>69011.72529313233</x:v>
      </x:c>
      <x:c r="S409" t="n">
        <x:v>1991</x:v>
      </x:c>
      <x:c r="T409" t="n">
        <x:v>35</x:v>
      </x:c>
      <x:c r="U409" t="str">
        <x:v>Good</x:v>
      </x:c>
      <x:c r="V409" s="16" t="n">
        <x:v>0</x:v>
      </x:c>
      <x:c r="W409" t="str"/>
      <x:c r="X409" t="n">
        <x:v>0</x:v>
      </x:c>
      <x:c r="Y409" s="16" t="n">
        <x:v>6.7</x:v>
      </x:c>
      <x:c r="Z409" s="1" t="b">
        <x:v>1</x:v>
      </x:c>
      <x:c r="AA409" t="str">
        <x:v>East-West</x:v>
      </x:c>
      <x:c r="AB409" s="16" t="n">
        <x:v>0</x:v>
      </x:c>
      <x:c r="AC409" s="16" t="n">
        <x:v>0</x:v>
      </x:c>
      <x:c r="AD409" s="1" t="b">
        <x:v>1</x:v>
      </x:c>
    </x:row>
    <x:row r="410">
      <x:c r="A410" t="str">
        <x:v>SYN-0409</x:v>
      </x:c>
      <x:c r="B410" s="12" t="n">
        <x:v>46221</x:v>
      </x:c>
      <x:c r="C410" t="str">
        <x:v>Synthetic New-Project Listing</x:v>
      </x:c>
      <x:c r="D410" t="str">
        <x:v>https://example.com/listings/SYN-0409</x:v>
      </x:c>
      <x:c r="E410" t="str">
        <x:v>New Project</x:v>
      </x:c>
      <x:c r="F410" t="str">
        <x:v>North TLV Living</x:v>
      </x:c>
      <x:c r="G410" t="str">
        <x:v>Sample Development D</x:v>
      </x:c>
      <x:c r="H410" t="str">
        <x:v>Pinkas 66, Tel Aviv</x:v>
      </x:c>
      <x:c r="I410" t="str">
        <x:v>Tel Aviv</x:v>
      </x:c>
      <x:c r="J410" t="str">
        <x:v>Kikar HaMedina / New North</x:v>
      </x:c>
      <x:c r="K410" s="14" t="n">
        <x:v>0.42</x:v>
      </x:c>
      <x:c r="L410" t="str">
        <x:v>Apartment</x:v>
      </x:c>
      <x:c r="M410" t="n">
        <x:v>3</x:v>
      </x:c>
      <x:c r="N410" s="16" t="n">
        <x:v>71.9</x:v>
      </x:c>
      <x:c r="O410" t="n">
        <x:v>3</x:v>
      </x:c>
      <x:c r="P410" t="n">
        <x:v>6</x:v>
      </x:c>
      <x:c r="Q410" s="18" t="n">
        <x:v>6010000</x:v>
      </x:c>
      <x:c r="R410" s="18" t="n">
        <x:f>IFERROR(Q410/N410,"")</x:f>
        <x:v>83588.31710709317</x:v>
      </x:c>
      <x:c r="S410" t="n">
        <x:v>2026</x:v>
      </x:c>
      <x:c r="T410" t="n">
        <x:v>0</x:v>
      </x:c>
      <x:c r="U410" t="str">
        <x:v>New</x:v>
      </x:c>
      <x:c r="V410" s="16" t="n">
        <x:v>13.7</x:v>
      </x:c>
      <x:c r="W410" t="str">
        <x:v>East</x:v>
      </x:c>
      <x:c r="X410" t="n">
        <x:v>1</x:v>
      </x:c>
      <x:c r="Y410" s="16" t="n">
        <x:v>6.8</x:v>
      </x:c>
      <x:c r="Z410" s="1" t="b">
        <x:v>1</x:v>
      </x:c>
      <x:c r="AA410" t="str">
        <x:v>East, East</x:v>
      </x:c>
      <x:c r="AB410" s="16" t="n">
        <x:v>0</x:v>
      </x:c>
      <x:c r="AC410" s="16" t="n">
        <x:v>0</x:v>
      </x:c>
      <x:c r="AD410" s="1" t="b">
        <x:v>0</x:v>
      </x:c>
    </x:row>
    <x:row r="411">
      <x:c r="A411" t="str">
        <x:v>SYN-0410</x:v>
      </x:c>
      <x:c r="B411" s="12" t="n">
        <x:v>46208</x:v>
      </x:c>
      <x:c r="C411" t="str">
        <x:v>Synthetic Yad2-like Listing</x:v>
      </x:c>
      <x:c r="D411" t="str">
        <x:v>https://example.com/listings/SYN-0410</x:v>
      </x:c>
      <x:c r="E411" t="str">
        <x:v>Second Hand</x:v>
      </x:c>
      <x:c r="F411" t="str"/>
      <x:c r="G411" t="str"/>
      <x:c r="H411" t="str">
        <x:v>Epstein 64, Tel Aviv</x:v>
      </x:c>
      <x:c r="I411" t="str">
        <x:v>Tel Aviv</x:v>
      </x:c>
      <x:c r="J411" t="str">
        <x:v>Kikar HaMedina / New North</x:v>
      </x:c>
      <x:c r="K411" s="14" t="n">
        <x:v>0.87</x:v>
      </x:c>
      <x:c r="L411" t="str">
        <x:v>Apartment</x:v>
      </x:c>
      <x:c r="M411" t="n">
        <x:v>4</x:v>
      </x:c>
      <x:c r="N411" s="16" t="n">
        <x:v>91.9</x:v>
      </x:c>
      <x:c r="O411" t="n">
        <x:v>5</x:v>
      </x:c>
      <x:c r="P411" t="n">
        <x:v>15</x:v>
      </x:c>
      <x:c r="Q411" s="18" t="n">
        <x:v>6000000</x:v>
      </x:c>
      <x:c r="R411" s="18" t="n">
        <x:f>IFERROR(Q411/N411,"")</x:f>
        <x:v>65288.35690968444</x:v>
      </x:c>
      <x:c r="S411" t="n">
        <x:v>1987</x:v>
      </x:c>
      <x:c r="T411" t="n">
        <x:v>39</x:v>
      </x:c>
      <x:c r="U411" t="str">
        <x:v>Good</x:v>
      </x:c>
      <x:c r="V411" s="16" t="n">
        <x:v>0</x:v>
      </x:c>
      <x:c r="W411" t="str"/>
      <x:c r="X411" t="n">
        <x:v>1</x:v>
      </x:c>
      <x:c r="Y411" s="16" t="n">
        <x:v>4.1</x:v>
      </x:c>
      <x:c r="Z411" s="1" t="b">
        <x:v>0</x:v>
      </x:c>
      <x:c r="AA411" t="str">
        <x:v>West</x:v>
      </x:c>
      <x:c r="AB411" s="16" t="n">
        <x:v>0</x:v>
      </x:c>
      <x:c r="AC411" s="16" t="n">
        <x:v>0</x:v>
      </x:c>
      <x:c r="AD411" s="1" t="b">
        <x:v>0</x:v>
      </x:c>
    </x:row>
    <x:row r="412">
      <x:c r="A412" t="str">
        <x:v>SYN-0411</x:v>
      </x:c>
      <x:c r="B412" s="12" t="n">
        <x:v>46222</x:v>
      </x:c>
      <x:c r="C412" t="str">
        <x:v>Synthetic New-Project Listing</x:v>
      </x:c>
      <x:c r="D412" t="str">
        <x:v>https://example.com/listings/SYN-0411</x:v>
      </x:c>
      <x:c r="E412" t="str">
        <x:v>New Project</x:v>
      </x:c>
      <x:c r="F412" t="str">
        <x:v>Kikar Residence</x:v>
      </x:c>
      <x:c r="G412" t="str">
        <x:v>Sample Development A</x:v>
      </x:c>
      <x:c r="H412" t="str">
        <x:v>Weizmann 79, Tel Aviv</x:v>
      </x:c>
      <x:c r="I412" t="str">
        <x:v>Tel Aviv</x:v>
      </x:c>
      <x:c r="J412" t="str">
        <x:v>Kikar HaMedina / New North</x:v>
      </x:c>
      <x:c r="K412" s="14" t="n">
        <x:v>0.31</x:v>
      </x:c>
      <x:c r="L412" t="str">
        <x:v>Apartment</x:v>
      </x:c>
      <x:c r="M412" t="n">
        <x:v>2</x:v>
      </x:c>
      <x:c r="N412" s="16" t="n">
        <x:v>58.7</x:v>
      </x:c>
      <x:c r="O412" t="n">
        <x:v>12</x:v>
      </x:c>
      <x:c r="P412" t="n">
        <x:v>15</x:v>
      </x:c>
      <x:c r="Q412" s="18" t="n">
        <x:v>4990000</x:v>
      </x:c>
      <x:c r="R412" s="18" t="n">
        <x:f>IFERROR(Q412/N412,"")</x:f>
        <x:v>85008.51788756388</x:v>
      </x:c>
      <x:c r="S412" t="n">
        <x:v>2026</x:v>
      </x:c>
      <x:c r="T412" t="n">
        <x:v>0</x:v>
      </x:c>
      <x:c r="U412" t="str">
        <x:v>New</x:v>
      </x:c>
      <x:c r="V412" s="16" t="n">
        <x:v>12.4</x:v>
      </x:c>
      <x:c r="W412" t="str">
        <x:v>South</x:v>
      </x:c>
      <x:c r="X412" t="n">
        <x:v>1</x:v>
      </x:c>
      <x:c r="Y412" s="16" t="n">
        <x:v>0</x:v>
      </x:c>
      <x:c r="Z412" s="1" t="b">
        <x:v>1</x:v>
      </x:c>
      <x:c r="AA412" t="str">
        <x:v>South</x:v>
      </x:c>
      <x:c r="AB412" s="16" t="n">
        <x:v>0</x:v>
      </x:c>
      <x:c r="AC412" s="16" t="n">
        <x:v>0</x:v>
      </x:c>
      <x:c r="AD412" s="1" t="b">
        <x:v>0</x:v>
      </x:c>
    </x:row>
    <x:row r="413">
      <x:c r="A413" t="str">
        <x:v>SYN-0412</x:v>
      </x:c>
      <x:c r="B413" s="12" t="n">
        <x:v>46227</x:v>
      </x:c>
      <x:c r="C413" t="str">
        <x:v>Synthetic Yad2-like Listing</x:v>
      </x:c>
      <x:c r="D413" t="str">
        <x:v>https://example.com/listings/SYN-0412</x:v>
      </x:c>
      <x:c r="E413" t="str">
        <x:v>Second Hand</x:v>
      </x:c>
      <x:c r="F413" t="str"/>
      <x:c r="G413" t="str"/>
      <x:c r="H413" t="str">
        <x:v>Pinkas 97, Tel Aviv</x:v>
      </x:c>
      <x:c r="I413" t="str">
        <x:v>Tel Aviv</x:v>
      </x:c>
      <x:c r="J413" t="str">
        <x:v>Kikar HaMedina / New North</x:v>
      </x:c>
      <x:c r="K413" s="14" t="n">
        <x:v>0.57</x:v>
      </x:c>
      <x:c r="L413" t="str">
        <x:v>Apartment</x:v>
      </x:c>
      <x:c r="M413" t="n">
        <x:v>4</x:v>
      </x:c>
      <x:c r="N413" s="16" t="n">
        <x:v>105.9</x:v>
      </x:c>
      <x:c r="O413" t="n">
        <x:v>2</x:v>
      </x:c>
      <x:c r="P413" t="n">
        <x:v>9</x:v>
      </x:c>
      <x:c r="Q413" s="18" t="n">
        <x:v>7120000</x:v>
      </x:c>
      <x:c r="R413" s="18" t="n">
        <x:f>IFERROR(Q413/N413,"")</x:f>
        <x:v>67233.238904627</x:v>
      </x:c>
      <x:c r="S413" t="n">
        <x:v>1969</x:v>
      </x:c>
      <x:c r="T413" t="n">
        <x:v>57</x:v>
      </x:c>
      <x:c r="U413" t="str">
        <x:v>Good</x:v>
      </x:c>
      <x:c r="V413" s="16" t="n">
        <x:v>13.5</x:v>
      </x:c>
      <x:c r="W413" t="str">
        <x:v>South-East</x:v>
      </x:c>
      <x:c r="X413" t="n">
        <x:v>1</x:v>
      </x:c>
      <x:c r="Y413" s="16" t="n">
        <x:v>3.1</x:v>
      </x:c>
      <x:c r="Z413" s="1" t="b">
        <x:v>1</x:v>
      </x:c>
      <x:c r="AA413" t="str">
        <x:v>South-East, South</x:v>
      </x:c>
      <x:c r="AB413" s="16" t="n">
        <x:v>0</x:v>
      </x:c>
      <x:c r="AC413" s="16" t="n">
        <x:v>0</x:v>
      </x:c>
      <x:c r="AD413" s="1" t="b">
        <x:v>0</x:v>
      </x:c>
    </x:row>
    <x:row r="414">
      <x:c r="A414" t="str">
        <x:v>SYN-0413</x:v>
      </x:c>
      <x:c r="B414" s="12" t="n">
        <x:v>46250</x:v>
      </x:c>
      <x:c r="C414" t="str">
        <x:v>Synthetic Yad2-like Listing</x:v>
      </x:c>
      <x:c r="D414" t="str">
        <x:v>https://example.com/listings/SYN-0413</x:v>
      </x:c>
      <x:c r="E414" t="str">
        <x:v>Second Hand</x:v>
      </x:c>
      <x:c r="F414" t="str"/>
      <x:c r="G414" t="str"/>
      <x:c r="H414" t="str">
        <x:v>Jabotinsky 79, Tel Aviv</x:v>
      </x:c>
      <x:c r="I414" t="str">
        <x:v>Tel Aviv</x:v>
      </x:c>
      <x:c r="J414" t="str">
        <x:v>Kikar HaMedina / New North</x:v>
      </x:c>
      <x:c r="K414" s="14" t="n">
        <x:v>0.5</x:v>
      </x:c>
      <x:c r="L414" t="str">
        <x:v>Apartment</x:v>
      </x:c>
      <x:c r="M414" t="n">
        <x:v>3</x:v>
      </x:c>
      <x:c r="N414" s="16" t="n">
        <x:v>79</x:v>
      </x:c>
      <x:c r="O414" t="n">
        <x:v>11</x:v>
      </x:c>
      <x:c r="P414" t="n">
        <x:v>15</x:v>
      </x:c>
      <x:c r="Q414" s="18" t="n">
        <x:v>4850000</x:v>
      </x:c>
      <x:c r="R414" s="18" t="n">
        <x:f>IFERROR(Q414/N414,"")</x:f>
        <x:v>61392.40506329114</x:v>
      </x:c>
      <x:c r="S414" t="n">
        <x:v>1987</x:v>
      </x:c>
      <x:c r="T414" t="n">
        <x:v>39</x:v>
      </x:c>
      <x:c r="U414" t="str">
        <x:v>Good</x:v>
      </x:c>
      <x:c r="V414" s="16" t="n">
        <x:v>0</x:v>
      </x:c>
      <x:c r="W414" t="str"/>
      <x:c r="X414" t="n">
        <x:v>0</x:v>
      </x:c>
      <x:c r="Y414" s="16" t="n">
        <x:v>0</x:v>
      </x:c>
      <x:c r="Z414" s="1" t="b">
        <x:v>1</x:v>
      </x:c>
      <x:c r="AA414" t="str">
        <x:v>East-West</x:v>
      </x:c>
      <x:c r="AB414" s="16" t="n">
        <x:v>0</x:v>
      </x:c>
      <x:c r="AC414" s="16" t="n">
        <x:v>0</x:v>
      </x:c>
      <x:c r="AD414" s="1" t="b">
        <x:v>0</x:v>
      </x:c>
    </x:row>
    <x:row r="415">
      <x:c r="A415" t="str">
        <x:v>SYN-0414</x:v>
      </x:c>
      <x:c r="B415" s="12" t="n">
        <x:v>46204</x:v>
      </x:c>
      <x:c r="C415" t="str">
        <x:v>Synthetic New-Project Listing</x:v>
      </x:c>
      <x:c r="D415" t="str">
        <x:v>https://example.com/listings/SYN-0414</x:v>
      </x:c>
      <x:c r="E415" t="str">
        <x:v>New Project</x:v>
      </x:c>
      <x:c r="F415" t="str">
        <x:v>Medina Boutique</x:v>
      </x:c>
      <x:c r="G415" t="str">
        <x:v>Sample Development E</x:v>
      </x:c>
      <x:c r="H415" t="str">
        <x:v>Pinkas 123, Tel Aviv</x:v>
      </x:c>
      <x:c r="I415" t="str">
        <x:v>Tel Aviv</x:v>
      </x:c>
      <x:c r="J415" t="str">
        <x:v>Kikar HaMedina / New North</x:v>
      </x:c>
      <x:c r="K415" s="14" t="n">
        <x:v>0.6</x:v>
      </x:c>
      <x:c r="L415" t="str">
        <x:v>Apartment</x:v>
      </x:c>
      <x:c r="M415" t="n">
        <x:v>2</x:v>
      </x:c>
      <x:c r="N415" s="16" t="n">
        <x:v>54.1</x:v>
      </x:c>
      <x:c r="O415" t="n">
        <x:v>1</x:v>
      </x:c>
      <x:c r="P415" t="n">
        <x:v>15</x:v>
      </x:c>
      <x:c r="Q415" s="18" t="n">
        <x:v>4220000</x:v>
      </x:c>
      <x:c r="R415" s="18" t="n">
        <x:f>IFERROR(Q415/N415,"")</x:f>
        <x:v>78003.69685767098</x:v>
      </x:c>
      <x:c r="S415" t="n">
        <x:v>2027</x:v>
      </x:c>
      <x:c r="T415" t="n">
        <x:v>0</x:v>
      </x:c>
      <x:c r="U415" t="str">
        <x:v>New</x:v>
      </x:c>
      <x:c r="V415" s="16" t="n">
        <x:v>0</x:v>
      </x:c>
      <x:c r="W415" t="str"/>
      <x:c r="X415" t="n">
        <x:v>1</x:v>
      </x:c>
      <x:c r="Y415" s="16" t="n">
        <x:v>9.6</x:v>
      </x:c>
      <x:c r="Z415" s="1" t="b">
        <x:v>1</x:v>
      </x:c>
      <x:c r="AA415" t="str">
        <x:v>South-West-East</x:v>
      </x:c>
      <x:c r="AB415" s="16" t="n">
        <x:v>0</x:v>
      </x:c>
      <x:c r="AC415" s="16" t="n">
        <x:v>0</x:v>
      </x:c>
      <x:c r="AD415" s="1" t="b">
        <x:v>0</x:v>
      </x:c>
    </x:row>
    <x:row r="416">
      <x:c r="A416" t="str">
        <x:v>SYN-0415</x:v>
      </x:c>
      <x:c r="B416" s="12" t="n">
        <x:v>46208</x:v>
      </x:c>
      <x:c r="C416" t="str">
        <x:v>Synthetic Yad2-like Listing</x:v>
      </x:c>
      <x:c r="D416" t="str">
        <x:v>https://example.com/listings/SYN-0415</x:v>
      </x:c>
      <x:c r="E416" t="str">
        <x:v>Second Hand</x:v>
      </x:c>
      <x:c r="F416" t="str"/>
      <x:c r="G416" t="str"/>
      <x:c r="H416" t="str">
        <x:v>Epstein 44, Tel Aviv</x:v>
      </x:c>
      <x:c r="I416" t="str">
        <x:v>Tel Aviv</x:v>
      </x:c>
      <x:c r="J416" t="str">
        <x:v>Kikar HaMedina / New North</x:v>
      </x:c>
      <x:c r="K416" s="14" t="n">
        <x:v>0.93</x:v>
      </x:c>
      <x:c r="L416" t="str">
        <x:v>Apartment</x:v>
      </x:c>
      <x:c r="M416" t="n">
        <x:v>5</x:v>
      </x:c>
      <x:c r="N416" s="16" t="n">
        <x:v>131.4</x:v>
      </x:c>
      <x:c r="O416" t="n">
        <x:v>11</x:v>
      </x:c>
      <x:c r="P416" t="n">
        <x:v>15</x:v>
      </x:c>
      <x:c r="Q416" s="18" t="n">
        <x:v>8190000</x:v>
      </x:c>
      <x:c r="R416" s="18" t="n">
        <x:f>IFERROR(Q416/N416,"")</x:f>
        <x:v>62328.76712328767</x:v>
      </x:c>
      <x:c r="S416" t="n">
        <x:v>2016</x:v>
      </x:c>
      <x:c r="T416" t="n">
        <x:v>10</x:v>
      </x:c>
      <x:c r="U416" t="str">
        <x:v>Needs Renovation</x:v>
      </x:c>
      <x:c r="V416" s="16" t="n">
        <x:v>0</x:v>
      </x:c>
      <x:c r="W416" t="str"/>
      <x:c r="X416" t="n">
        <x:v>1</x:v>
      </x:c>
      <x:c r="Y416" s="16" t="n">
        <x:v>0</x:v>
      </x:c>
      <x:c r="Z416" s="1" t="b">
        <x:v>1</x:v>
      </x:c>
      <x:c r="AA416" t="str">
        <x:v>East</x:v>
      </x:c>
      <x:c r="AB416" s="16" t="n">
        <x:v>0</x:v>
      </x:c>
      <x:c r="AC416" s="16" t="n">
        <x:v>0</x:v>
      </x:c>
      <x:c r="AD416" s="1" t="b">
        <x:v>0</x:v>
      </x:c>
    </x:row>
    <x:row r="417">
      <x:c r="A417" t="str">
        <x:v>SYN-0416</x:v>
      </x:c>
      <x:c r="B417" s="12" t="n">
        <x:v>46223</x:v>
      </x:c>
      <x:c r="C417" t="str">
        <x:v>Synthetic New-Project Listing</x:v>
      </x:c>
      <x:c r="D417" t="str">
        <x:v>https://example.com/listings/SYN-0416</x:v>
      </x:c>
      <x:c r="E417" t="str">
        <x:v>New Project</x:v>
      </x:c>
      <x:c r="F417" t="str">
        <x:v>Helsinki Gardens</x:v>
      </x:c>
      <x:c r="G417" t="str">
        <x:v>Sample Development C</x:v>
      </x:c>
      <x:c r="H417" t="str">
        <x:v>Bavli 124, Tel Aviv</x:v>
      </x:c>
      <x:c r="I417" t="str">
        <x:v>Tel Aviv</x:v>
      </x:c>
      <x:c r="J417" t="str">
        <x:v>Kikar HaMedina / New North</x:v>
      </x:c>
      <x:c r="K417" s="14" t="n">
        <x:v>0.77</x:v>
      </x:c>
      <x:c r="L417" t="str">
        <x:v>Apartment</x:v>
      </x:c>
      <x:c r="M417" t="n">
        <x:v>2</x:v>
      </x:c>
      <x:c r="N417" s="16" t="n">
        <x:v>50.9</x:v>
      </x:c>
      <x:c r="O417" t="n">
        <x:v>0</x:v>
      </x:c>
      <x:c r="P417" t="n">
        <x:v>10</x:v>
      </x:c>
      <x:c r="Q417" s="18" t="n">
        <x:v>3950000</x:v>
      </x:c>
      <x:c r="R417" s="18" t="n">
        <x:f>IFERROR(Q417/N417,"")</x:f>
        <x:v>77603.14341846759</x:v>
      </x:c>
      <x:c r="S417" t="n">
        <x:v>2025</x:v>
      </x:c>
      <x:c r="T417" t="n">
        <x:v>1</x:v>
      </x:c>
      <x:c r="U417" t="str">
        <x:v>New</x:v>
      </x:c>
      <x:c r="V417" s="16" t="n">
        <x:v>0</x:v>
      </x:c>
      <x:c r="W417" t="str"/>
      <x:c r="X417" t="n">
        <x:v>1</x:v>
      </x:c>
      <x:c r="Y417" s="16" t="n">
        <x:v>8.8</x:v>
      </x:c>
      <x:c r="Z417" s="1" t="b">
        <x:v>1</x:v>
      </x:c>
      <x:c r="AA417" t="str">
        <x:v>North-West</x:v>
      </x:c>
      <x:c r="AB417" s="16" t="n">
        <x:v>0</x:v>
      </x:c>
      <x:c r="AC417" s="16" t="n">
        <x:v>0</x:v>
      </x:c>
      <x:c r="AD417" s="1" t="b">
        <x:v>0</x:v>
      </x:c>
    </x:row>
    <x:row r="418">
      <x:c r="A418" t="str">
        <x:v>SYN-0417</x:v>
      </x:c>
      <x:c r="B418" s="12" t="n">
        <x:v>46253</x:v>
      </x:c>
      <x:c r="C418" t="str">
        <x:v>Synthetic Yad2-like Listing</x:v>
      </x:c>
      <x:c r="D418" t="str">
        <x:v>https://example.com/listings/SYN-0417</x:v>
      </x:c>
      <x:c r="E418" t="str">
        <x:v>Second Hand</x:v>
      </x:c>
      <x:c r="F418" t="str"/>
      <x:c r="G418" t="str"/>
      <x:c r="H418" t="str">
        <x:v>Biltmore 132, Tel Aviv</x:v>
      </x:c>
      <x:c r="I418" t="str">
        <x:v>Tel Aviv</x:v>
      </x:c>
      <x:c r="J418" t="str">
        <x:v>Kikar HaMedina / New North</x:v>
      </x:c>
      <x:c r="K418" s="14" t="n">
        <x:v>0.87</x:v>
      </x:c>
      <x:c r="L418" t="str">
        <x:v>Apartment</x:v>
      </x:c>
      <x:c r="M418" t="n">
        <x:v>5</x:v>
      </x:c>
      <x:c r="N418" s="16" t="n">
        <x:v>125.4</x:v>
      </x:c>
      <x:c r="O418" t="n">
        <x:v>0</x:v>
      </x:c>
      <x:c r="P418" t="n">
        <x:v>18</x:v>
      </x:c>
      <x:c r="Q418" s="18" t="n">
        <x:v>8620000</x:v>
      </x:c>
      <x:c r="R418" s="18" t="n">
        <x:f>IFERROR(Q418/N418,"")</x:f>
        <x:v>68740.03189792663</x:v>
      </x:c>
      <x:c r="S418" t="n">
        <x:v>1982</x:v>
      </x:c>
      <x:c r="T418" t="n">
        <x:v>44</x:v>
      </x:c>
      <x:c r="U418" t="str">
        <x:v>Renovated</x:v>
      </x:c>
      <x:c r="V418" s="16" t="n">
        <x:v>16.5</x:v>
      </x:c>
      <x:c r="W418" t="str">
        <x:v>South-West</x:v>
      </x:c>
      <x:c r="X418" t="n">
        <x:v>1</x:v>
      </x:c>
      <x:c r="Y418" s="16" t="n">
        <x:v>9.2</x:v>
      </x:c>
      <x:c r="Z418" s="1" t="b">
        <x:v>1</x:v>
      </x:c>
      <x:c r="AA418" t="str">
        <x:v>South-West</x:v>
      </x:c>
      <x:c r="AB418" s="16" t="n">
        <x:v>0</x:v>
      </x:c>
      <x:c r="AC418" s="16" t="n">
        <x:v>0</x:v>
      </x:c>
      <x:c r="AD418" s="1" t="b">
        <x:v>0</x:v>
      </x:c>
    </x:row>
    <x:row r="419">
      <x:c r="A419" t="str">
        <x:v>SYN-0418</x:v>
      </x:c>
      <x:c r="B419" s="12" t="n">
        <x:v>46206</x:v>
      </x:c>
      <x:c r="C419" t="str">
        <x:v>Synthetic Yad2-like Listing</x:v>
      </x:c>
      <x:c r="D419" t="str">
        <x:v>https://example.com/listings/SYN-0418</x:v>
      </x:c>
      <x:c r="E419" t="str">
        <x:v>Second Hand</x:v>
      </x:c>
      <x:c r="F419" t="str"/>
      <x:c r="G419" t="str"/>
      <x:c r="H419" t="str">
        <x:v>Biltmore 2, Tel Aviv</x:v>
      </x:c>
      <x:c r="I419" t="str">
        <x:v>Tel Aviv</x:v>
      </x:c>
      <x:c r="J419" t="str">
        <x:v>Kikar HaMedina / New North</x:v>
      </x:c>
      <x:c r="K419" s="14" t="n">
        <x:v>0.9</x:v>
      </x:c>
      <x:c r="L419" t="str">
        <x:v>Apartment</x:v>
      </x:c>
      <x:c r="M419" t="n">
        <x:v>3</x:v>
      </x:c>
      <x:c r="N419" s="16" t="n">
        <x:v>74.1</x:v>
      </x:c>
      <x:c r="O419" t="n">
        <x:v>4</x:v>
      </x:c>
      <x:c r="P419" t="n">
        <x:v>10</x:v>
      </x:c>
      <x:c r="Q419" s="18" t="n">
        <x:v>4820000</x:v>
      </x:c>
      <x:c r="R419" s="18" t="n">
        <x:f>IFERROR(Q419/N419,"")</x:f>
        <x:v>65047.233468286104</x:v>
      </x:c>
      <x:c r="S419" t="n">
        <x:v>1968</x:v>
      </x:c>
      <x:c r="T419" t="n">
        <x:v>58</x:v>
      </x:c>
      <x:c r="U419" t="str">
        <x:v>Good</x:v>
      </x:c>
      <x:c r="V419" s="16" t="n">
        <x:v>21</x:v>
      </x:c>
      <x:c r="W419" t="str">
        <x:v>South</x:v>
      </x:c>
      <x:c r="X419" t="n">
        <x:v>0</x:v>
      </x:c>
      <x:c r="Y419" s="16" t="n">
        <x:v>0</x:v>
      </x:c>
      <x:c r="Z419" s="1" t="b">
        <x:v>1</x:v>
      </x:c>
      <x:c r="AA419" t="str">
        <x:v>South, North</x:v>
      </x:c>
      <x:c r="AB419" s="16" t="n">
        <x:v>0</x:v>
      </x:c>
      <x:c r="AC419" s="16" t="n">
        <x:v>0</x:v>
      </x:c>
      <x:c r="AD419" s="1" t="b">
        <x:v>0</x:v>
      </x:c>
    </x:row>
    <x:row r="420">
      <x:c r="A420" t="str">
        <x:v>SYN-0419</x:v>
      </x:c>
      <x:c r="B420" s="12" t="n">
        <x:v>46210</x:v>
      </x:c>
      <x:c r="C420" t="str">
        <x:v>Synthetic New-Project Listing</x:v>
      </x:c>
      <x:c r="D420" t="str">
        <x:v>https://example.com/listings/SYN-0419</x:v>
      </x:c>
      <x:c r="E420" t="str">
        <x:v>New Project</x:v>
      </x:c>
      <x:c r="F420" t="str">
        <x:v>Weizmann Urban</x:v>
      </x:c>
      <x:c r="G420" t="str">
        <x:v>Sample Development B</x:v>
      </x:c>
      <x:c r="H420" t="str">
        <x:v>Mosenzon 103, Tel Aviv</x:v>
      </x:c>
      <x:c r="I420" t="str">
        <x:v>Tel Aviv</x:v>
      </x:c>
      <x:c r="J420" t="str">
        <x:v>Kikar HaMedina / New North</x:v>
      </x:c>
      <x:c r="K420" s="14" t="n">
        <x:v>0.8</x:v>
      </x:c>
      <x:c r="L420" t="str">
        <x:v>Apartment</x:v>
      </x:c>
      <x:c r="M420" t="n">
        <x:v>3</x:v>
      </x:c>
      <x:c r="N420" s="16" t="n">
        <x:v>72.6</x:v>
      </x:c>
      <x:c r="O420" t="n">
        <x:v>0</x:v>
      </x:c>
      <x:c r="P420" t="n">
        <x:v>6</x:v>
      </x:c>
      <x:c r="Q420" s="18" t="n">
        <x:v>5120000</x:v>
      </x:c>
      <x:c r="R420" s="18" t="n">
        <x:f>IFERROR(Q420/N420,"")</x:f>
        <x:v>70523.41597796144</x:v>
      </x:c>
      <x:c r="S420" t="n">
        <x:v>2026</x:v>
      </x:c>
      <x:c r="T420" t="n">
        <x:v>0</x:v>
      </x:c>
      <x:c r="U420" t="str">
        <x:v>New</x:v>
      </x:c>
      <x:c r="V420" s="16" t="n">
        <x:v>0</x:v>
      </x:c>
      <x:c r="W420" t="str"/>
      <x:c r="X420" t="n">
        <x:v>0</x:v>
      </x:c>
      <x:c r="Y420" s="16" t="n">
        <x:v>6.4</x:v>
      </x:c>
      <x:c r="Z420" s="1" t="b">
        <x:v>1</x:v>
      </x:c>
      <x:c r="AA420" t="str">
        <x:v>South</x:v>
      </x:c>
      <x:c r="AB420" s="16" t="n">
        <x:v>0</x:v>
      </x:c>
      <x:c r="AC420" s="16" t="n">
        <x:v>0</x:v>
      </x:c>
      <x:c r="AD420" s="1" t="b">
        <x:v>0</x:v>
      </x:c>
    </x:row>
    <x:row r="421">
      <x:c r="A421" t="str">
        <x:v>SYN-0420</x:v>
      </x:c>
      <x:c r="B421" s="12" t="n">
        <x:v>46219</x:v>
      </x:c>
      <x:c r="C421" t="str">
        <x:v>Synthetic Yad2-like Listing</x:v>
      </x:c>
      <x:c r="D421" t="str">
        <x:v>https://example.com/listings/SYN-0420</x:v>
      </x:c>
      <x:c r="E421" t="str">
        <x:v>Second Hand</x:v>
      </x:c>
      <x:c r="F421" t="str"/>
      <x:c r="G421" t="str"/>
      <x:c r="H421" t="str">
        <x:v>Lissin 22, Tel Aviv</x:v>
      </x:c>
      <x:c r="I421" t="str">
        <x:v>Tel Aviv</x:v>
      </x:c>
      <x:c r="J421" t="str">
        <x:v>Kikar HaMedina / New North</x:v>
      </x:c>
      <x:c r="K421" s="14" t="n">
        <x:v>0.51</x:v>
      </x:c>
      <x:c r="L421" t="str">
        <x:v>Duplex</x:v>
      </x:c>
      <x:c r="M421" t="n">
        <x:v>2</x:v>
      </x:c>
      <x:c r="N421" s="16" t="n">
        <x:v>50.8</x:v>
      </x:c>
      <x:c r="O421" t="n">
        <x:v>0</x:v>
      </x:c>
      <x:c r="P421" t="n">
        <x:v>16</x:v>
      </x:c>
      <x:c r="Q421" s="18" t="n">
        <x:v>3730000</x:v>
      </x:c>
      <x:c r="R421" s="18" t="n">
        <x:f>IFERROR(Q421/N421,"")</x:f>
        <x:v>73425.19685039371</x:v>
      </x:c>
      <x:c r="S421" t="n">
        <x:v>1990</x:v>
      </x:c>
      <x:c r="T421" t="n">
        <x:v>36</x:v>
      </x:c>
      <x:c r="U421" t="str">
        <x:v>Renovated</x:v>
      </x:c>
      <x:c r="V421" s="16" t="n">
        <x:v>0</x:v>
      </x:c>
      <x:c r="W421" t="str"/>
      <x:c r="X421" t="n">
        <x:v>1</x:v>
      </x:c>
      <x:c r="Y421" s="16" t="n">
        <x:v>0</x:v>
      </x:c>
      <x:c r="Z421" s="1" t="b">
        <x:v>1</x:v>
      </x:c>
      <x:c r="AA421" t="str">
        <x:v>East</x:v>
      </x:c>
      <x:c r="AB421" s="16" t="n">
        <x:v>0</x:v>
      </x:c>
      <x:c r="AC421" s="16" t="n">
        <x:v>0</x:v>
      </x:c>
      <x:c r="AD421" s="1" t="b">
        <x:v>0</x:v>
      </x:c>
    </x:row>
    <x:row r="422">
      <x:c r="A422" t="str">
        <x:v>SYN-0421</x:v>
      </x:c>
      <x:c r="B422" s="12" t="n">
        <x:v>46207</x:v>
      </x:c>
      <x:c r="C422" t="str">
        <x:v>Synthetic New-Project Listing</x:v>
      </x:c>
      <x:c r="D422" t="str">
        <x:v>https://example.com/listings/SYN-0421</x:v>
      </x:c>
      <x:c r="E422" t="str">
        <x:v>New Project</x:v>
      </x:c>
      <x:c r="F422" t="str">
        <x:v>Weizmann Urban</x:v>
      </x:c>
      <x:c r="G422" t="str">
        <x:v>Sample Development B</x:v>
      </x:c>
      <x:c r="H422" t="str">
        <x:v>Jabotinsky 71, Tel Aviv</x:v>
      </x:c>
      <x:c r="I422" t="str">
        <x:v>Tel Aviv</x:v>
      </x:c>
      <x:c r="J422" t="str">
        <x:v>Kikar HaMedina / New North</x:v>
      </x:c>
      <x:c r="K422" s="14" t="n">
        <x:v>0.61</x:v>
      </x:c>
      <x:c r="L422" t="str">
        <x:v>Apartment</x:v>
      </x:c>
      <x:c r="M422" t="n">
        <x:v>2</x:v>
      </x:c>
      <x:c r="N422" s="16" t="n">
        <x:v>49.7</x:v>
      </x:c>
      <x:c r="O422" t="n">
        <x:v>11</x:v>
      </x:c>
      <x:c r="P422" t="n">
        <x:v>13</x:v>
      </x:c>
      <x:c r="Q422" s="18" t="n">
        <x:v>4550000</x:v>
      </x:c>
      <x:c r="R422" s="18" t="n">
        <x:f>IFERROR(Q422/N422,"")</x:f>
        <x:v>91549.29577464788</x:v>
      </x:c>
      <x:c r="S422" t="n">
        <x:v>2027</x:v>
      </x:c>
      <x:c r="T422" t="n">
        <x:v>0</x:v>
      </x:c>
      <x:c r="U422" t="str">
        <x:v>New</x:v>
      </x:c>
      <x:c r="V422" s="16" t="n">
        <x:v>20.5</x:v>
      </x:c>
      <x:c r="W422" t="str">
        <x:v>South</x:v>
      </x:c>
      <x:c r="X422" t="n">
        <x:v>1</x:v>
      </x:c>
      <x:c r="Y422" s="16" t="n">
        <x:v>4.3</x:v>
      </x:c>
      <x:c r="Z422" s="1" t="b">
        <x:v>1</x:v>
      </x:c>
      <x:c r="AA422" t="str">
        <x:v>South, West</x:v>
      </x:c>
      <x:c r="AB422" s="16" t="n">
        <x:v>0</x:v>
      </x:c>
      <x:c r="AC422" s="16" t="n">
        <x:v>0</x:v>
      </x:c>
      <x:c r="AD422" s="1" t="b">
        <x:v>0</x:v>
      </x:c>
    </x:row>
    <x:row r="423">
      <x:c r="A423" t="str">
        <x:v>SYN-0422</x:v>
      </x:c>
      <x:c r="B423" s="12" t="n">
        <x:v>46222</x:v>
      </x:c>
      <x:c r="C423" t="str">
        <x:v>Synthetic New-Project Listing</x:v>
      </x:c>
      <x:c r="D423" t="str">
        <x:v>https://example.com/listings/SYN-0422</x:v>
      </x:c>
      <x:c r="E423" t="str">
        <x:v>New Project</x:v>
      </x:c>
      <x:c r="F423" t="str">
        <x:v>North TLV Living</x:v>
      </x:c>
      <x:c r="G423" t="str">
        <x:v>Sample Development D</x:v>
      </x:c>
      <x:c r="H423" t="str">
        <x:v>Jabotinsky 82, Tel Aviv</x:v>
      </x:c>
      <x:c r="I423" t="str">
        <x:v>Tel Aviv</x:v>
      </x:c>
      <x:c r="J423" t="str">
        <x:v>Kikar HaMedina / New North</x:v>
      </x:c>
      <x:c r="K423" s="14" t="n">
        <x:v>0.61</x:v>
      </x:c>
      <x:c r="L423" t="str">
        <x:v>Apartment</x:v>
      </x:c>
      <x:c r="M423" t="n">
        <x:v>4</x:v>
      </x:c>
      <x:c r="N423" s="16" t="n">
        <x:v>102</x:v>
      </x:c>
      <x:c r="O423" t="n">
        <x:v>3</x:v>
      </x:c>
      <x:c r="P423" t="n">
        <x:v>7</x:v>
      </x:c>
      <x:c r="Q423" s="18" t="n">
        <x:v>8030000</x:v>
      </x:c>
      <x:c r="R423" s="18" t="n">
        <x:f>IFERROR(Q423/N423,"")</x:f>
        <x:v>78725.49019607843</x:v>
      </x:c>
      <x:c r="S423" t="n">
        <x:v>2026</x:v>
      </x:c>
      <x:c r="T423" t="n">
        <x:v>0</x:v>
      </x:c>
      <x:c r="U423" t="str">
        <x:v>New</x:v>
      </x:c>
      <x:c r="V423" s="16" t="n">
        <x:v>16.2</x:v>
      </x:c>
      <x:c r="W423" t="str">
        <x:v>North</x:v>
      </x:c>
      <x:c r="X423" t="n">
        <x:v>1</x:v>
      </x:c>
      <x:c r="Y423" s="16" t="n">
        <x:v>5</x:v>
      </x:c>
      <x:c r="Z423" s="1" t="b">
        <x:v>1</x:v>
      </x:c>
      <x:c r="AA423" t="str">
        <x:v>North, North</x:v>
      </x:c>
      <x:c r="AB423" s="16" t="n">
        <x:v>0</x:v>
      </x:c>
      <x:c r="AC423" s="16" t="n">
        <x:v>0</x:v>
      </x:c>
      <x:c r="AD423" s="1" t="b">
        <x:v>0</x:v>
      </x:c>
    </x:row>
    <x:row r="424">
      <x:c r="A424" t="str">
        <x:v>SYN-0423</x:v>
      </x:c>
      <x:c r="B424" s="12" t="n">
        <x:v>46210</x:v>
      </x:c>
      <x:c r="C424" t="str">
        <x:v>Synthetic Yad2-like Listing</x:v>
      </x:c>
      <x:c r="D424" t="str">
        <x:v>https://example.com/listings/SYN-0423</x:v>
      </x:c>
      <x:c r="E424" t="str">
        <x:v>Second Hand</x:v>
      </x:c>
      <x:c r="F424" t="str"/>
      <x:c r="G424" t="str"/>
      <x:c r="H424" t="str">
        <x:v>Mosenzon 155, Tel Aviv</x:v>
      </x:c>
      <x:c r="I424" t="str">
        <x:v>Tel Aviv</x:v>
      </x:c>
      <x:c r="J424" t="str">
        <x:v>Kikar HaMedina / New North</x:v>
      </x:c>
      <x:c r="K424" s="14" t="n">
        <x:v>0.8</x:v>
      </x:c>
      <x:c r="L424" t="str">
        <x:v>Apartment</x:v>
      </x:c>
      <x:c r="M424" t="n">
        <x:v>5</x:v>
      </x:c>
      <x:c r="N424" s="16" t="n">
        <x:v>114.6</x:v>
      </x:c>
      <x:c r="O424" t="n">
        <x:v>2</x:v>
      </x:c>
      <x:c r="P424" t="n">
        <x:v>8</x:v>
      </x:c>
      <x:c r="Q424" s="18" t="n">
        <x:v>7650000</x:v>
      </x:c>
      <x:c r="R424" s="18" t="n">
        <x:f>IFERROR(Q424/N424,"")</x:f>
        <x:v>66753.92670157069</x:v>
      </x:c>
      <x:c r="S424" t="n">
        <x:v>1983</x:v>
      </x:c>
      <x:c r="T424" t="n">
        <x:v>43</x:v>
      </x:c>
      <x:c r="U424" t="str">
        <x:v>Good</x:v>
      </x:c>
      <x:c r="V424" s="16" t="n">
        <x:v>15.3</x:v>
      </x:c>
      <x:c r="W424" t="str">
        <x:v>South</x:v>
      </x:c>
      <x:c r="X424" t="n">
        <x:v>1</x:v>
      </x:c>
      <x:c r="Y424" s="16" t="n">
        <x:v>0</x:v>
      </x:c>
      <x:c r="Z424" s="1" t="b">
        <x:v>1</x:v>
      </x:c>
      <x:c r="AA424" t="str">
        <x:v>South, North</x:v>
      </x:c>
      <x:c r="AB424" s="16" t="n">
        <x:v>0</x:v>
      </x:c>
      <x:c r="AC424" s="16" t="n">
        <x:v>0</x:v>
      </x:c>
      <x:c r="AD424" s="1" t="b">
        <x:v>0</x:v>
      </x:c>
    </x:row>
    <x:row r="425">
      <x:c r="A425" t="str">
        <x:v>SYN-0424</x:v>
      </x:c>
      <x:c r="B425" s="12" t="n">
        <x:v>46239</x:v>
      </x:c>
      <x:c r="C425" t="str">
        <x:v>Synthetic New-Project Listing</x:v>
      </x:c>
      <x:c r="D425" t="str">
        <x:v>https://example.com/listings/SYN-0424</x:v>
      </x:c>
      <x:c r="E425" t="str">
        <x:v>New Project</x:v>
      </x:c>
      <x:c r="F425" t="str">
        <x:v>Weizmann Urban</x:v>
      </x:c>
      <x:c r="G425" t="str">
        <x:v>Sample Development B</x:v>
      </x:c>
      <x:c r="H425" t="str">
        <x:v>Helsinki 33, Tel Aviv</x:v>
      </x:c>
      <x:c r="I425" t="str">
        <x:v>Tel Aviv</x:v>
      </x:c>
      <x:c r="J425" t="str">
        <x:v>Kikar HaMedina / New North</x:v>
      </x:c>
      <x:c r="K425" s="14" t="n">
        <x:v>0.05</x:v>
      </x:c>
      <x:c r="L425" t="str">
        <x:v>Apartment</x:v>
      </x:c>
      <x:c r="M425" t="n">
        <x:v>4</x:v>
      </x:c>
      <x:c r="N425" s="16" t="n">
        <x:v>90.4</x:v>
      </x:c>
      <x:c r="O425" t="n">
        <x:v>9</x:v>
      </x:c>
      <x:c r="P425" t="n">
        <x:v>13</x:v>
      </x:c>
      <x:c r="Q425" s="18" t="n">
        <x:v>7350000</x:v>
      </x:c>
      <x:c r="R425" s="18" t="n">
        <x:f>IFERROR(Q425/N425,"")</x:f>
        <x:v>81305.30973451327</x:v>
      </x:c>
      <x:c r="S425" t="n">
        <x:v>2027</x:v>
      </x:c>
      <x:c r="T425" t="n">
        <x:v>0</x:v>
      </x:c>
      <x:c r="U425" t="str">
        <x:v>New</x:v>
      </x:c>
      <x:c r="V425" s="16" t="n">
        <x:v>9.6</x:v>
      </x:c>
      <x:c r="W425" t="str">
        <x:v>North-West</x:v>
      </x:c>
      <x:c r="X425" t="n">
        <x:v>1</x:v>
      </x:c>
      <x:c r="Y425" s="16" t="n">
        <x:v>8.3</x:v>
      </x:c>
      <x:c r="Z425" s="1" t="b">
        <x:v>1</x:v>
      </x:c>
      <x:c r="AA425" t="str">
        <x:v>North-West, South</x:v>
      </x:c>
      <x:c r="AB425" s="16" t="n">
        <x:v>0</x:v>
      </x:c>
      <x:c r="AC425" s="16" t="n">
        <x:v>0</x:v>
      </x:c>
      <x:c r="AD425" s="1" t="b">
        <x:v>0</x:v>
      </x:c>
    </x:row>
    <x:row r="426">
      <x:c r="A426" t="str">
        <x:v>SYN-0425</x:v>
      </x:c>
      <x:c r="B426" s="12" t="n">
        <x:v>46236</x:v>
      </x:c>
      <x:c r="C426" t="str">
        <x:v>Synthetic Yad2-like Listing</x:v>
      </x:c>
      <x:c r="D426" t="str">
        <x:v>https://example.com/listings/SYN-0425</x:v>
      </x:c>
      <x:c r="E426" t="str">
        <x:v>Second Hand</x:v>
      </x:c>
      <x:c r="F426" t="str"/>
      <x:c r="G426" t="str"/>
      <x:c r="H426" t="str">
        <x:v>Jabotinsky 176, Tel Aviv</x:v>
      </x:c>
      <x:c r="I426" t="str">
        <x:v>Tel Aviv</x:v>
      </x:c>
      <x:c r="J426" t="str">
        <x:v>Kikar HaMedina / New North</x:v>
      </x:c>
      <x:c r="K426" s="14" t="n">
        <x:v>0.55</x:v>
      </x:c>
      <x:c r="L426" t="str">
        <x:v>Apartment</x:v>
      </x:c>
      <x:c r="M426" t="n">
        <x:v>5</x:v>
      </x:c>
      <x:c r="N426" s="16" t="n">
        <x:v>123.7</x:v>
      </x:c>
      <x:c r="O426" t="n">
        <x:v>11</x:v>
      </x:c>
      <x:c r="P426" t="n">
        <x:v>12</x:v>
      </x:c>
      <x:c r="Q426" s="18" t="n">
        <x:v>9430000</x:v>
      </x:c>
      <x:c r="R426" s="18" t="n">
        <x:f>IFERROR(Q426/N426,"")</x:f>
        <x:v>76232.82134195634</x:v>
      </x:c>
      <x:c r="S426" t="n">
        <x:v>2021</x:v>
      </x:c>
      <x:c r="T426" t="n">
        <x:v>5</x:v>
      </x:c>
      <x:c r="U426" t="str">
        <x:v>Good</x:v>
      </x:c>
      <x:c r="V426" s="16" t="n">
        <x:v>30.4</x:v>
      </x:c>
      <x:c r="W426" t="str">
        <x:v>North</x:v>
      </x:c>
      <x:c r="X426" t="n">
        <x:v>2</x:v>
      </x:c>
      <x:c r="Y426" s="16" t="n">
        <x:v>0</x:v>
      </x:c>
      <x:c r="Z426" s="1" t="b">
        <x:v>1</x:v>
      </x:c>
      <x:c r="AA426" t="str">
        <x:v>North, West</x:v>
      </x:c>
      <x:c r="AB426" s="16" t="n">
        <x:v>0</x:v>
      </x:c>
      <x:c r="AC426" s="16" t="n">
        <x:v>0</x:v>
      </x:c>
      <x:c r="AD426" s="1" t="b">
        <x:v>1</x:v>
      </x:c>
    </x:row>
    <x:row r="427">
      <x:c r="A427" t="str">
        <x:v>SYN-0426</x:v>
      </x:c>
      <x:c r="B427" s="12" t="n">
        <x:v>46206</x:v>
      </x:c>
      <x:c r="C427" t="str">
        <x:v>Synthetic New-Project Listing</x:v>
      </x:c>
      <x:c r="D427" t="str">
        <x:v>https://example.com/listings/SYN-0426</x:v>
      </x:c>
      <x:c r="E427" t="str">
        <x:v>New Project</x:v>
      </x:c>
      <x:c r="F427" t="str">
        <x:v>Medina Boutique</x:v>
      </x:c>
      <x:c r="G427" t="str">
        <x:v>Sample Development E</x:v>
      </x:c>
      <x:c r="H427" t="str">
        <x:v>Klay 67, Tel Aviv</x:v>
      </x:c>
      <x:c r="I427" t="str">
        <x:v>Tel Aviv</x:v>
      </x:c>
      <x:c r="J427" t="str">
        <x:v>Kikar HaMedina / New North</x:v>
      </x:c>
      <x:c r="K427" s="14" t="n">
        <x:v>0.52</x:v>
      </x:c>
      <x:c r="L427" t="str">
        <x:v>Apartment</x:v>
      </x:c>
      <x:c r="M427" t="n">
        <x:v>4</x:v>
      </x:c>
      <x:c r="N427" s="16" t="n">
        <x:v>96</x:v>
      </x:c>
      <x:c r="O427" t="n">
        <x:v>4</x:v>
      </x:c>
      <x:c r="P427" t="n">
        <x:v>8</x:v>
      </x:c>
      <x:c r="Q427" s="18" t="n">
        <x:v>7220000</x:v>
      </x:c>
      <x:c r="R427" s="18" t="n">
        <x:f>IFERROR(Q427/N427,"")</x:f>
        <x:v>75208.33333333333</x:v>
      </x:c>
      <x:c r="S427" t="n">
        <x:v>2026</x:v>
      </x:c>
      <x:c r="T427" t="n">
        <x:v>0</x:v>
      </x:c>
      <x:c r="U427" t="str">
        <x:v>New</x:v>
      </x:c>
      <x:c r="V427" s="16" t="n">
        <x:v>11.5</x:v>
      </x:c>
      <x:c r="W427" t="str">
        <x:v>North</x:v>
      </x:c>
      <x:c r="X427" t="n">
        <x:v>1</x:v>
      </x:c>
      <x:c r="Y427" s="16" t="n">
        <x:v>0</x:v>
      </x:c>
      <x:c r="Z427" s="1" t="b">
        <x:v>1</x:v>
      </x:c>
      <x:c r="AA427" t="str">
        <x:v>North</x:v>
      </x:c>
      <x:c r="AB427" s="16" t="n">
        <x:v>0</x:v>
      </x:c>
      <x:c r="AC427" s="16" t="n">
        <x:v>0</x:v>
      </x:c>
      <x:c r="AD427" s="1" t="b">
        <x:v>0</x:v>
      </x:c>
    </x:row>
    <x:row r="428">
      <x:c r="A428" t="str">
        <x:v>SYN-0427</x:v>
      </x:c>
      <x:c r="B428" s="12" t="n">
        <x:v>46207</x:v>
      </x:c>
      <x:c r="C428" t="str">
        <x:v>Synthetic Yad2-like Listing</x:v>
      </x:c>
      <x:c r="D428" t="str">
        <x:v>https://example.com/listings/SYN-0427</x:v>
      </x:c>
      <x:c r="E428" t="str">
        <x:v>Second Hand</x:v>
      </x:c>
      <x:c r="F428" t="str"/>
      <x:c r="G428" t="str"/>
      <x:c r="H428" t="str">
        <x:v>Epstein 141, Tel Aviv</x:v>
      </x:c>
      <x:c r="I428" t="str">
        <x:v>Tel Aviv</x:v>
      </x:c>
      <x:c r="J428" t="str">
        <x:v>Kikar HaMedina / New North</x:v>
      </x:c>
      <x:c r="K428" s="14" t="n">
        <x:v>0.92</x:v>
      </x:c>
      <x:c r="L428" t="str">
        <x:v>Apartment</x:v>
      </x:c>
      <x:c r="M428" t="n">
        <x:v>3</x:v>
      </x:c>
      <x:c r="N428" s="16" t="n">
        <x:v>79.7</x:v>
      </x:c>
      <x:c r="O428" t="n">
        <x:v>4</x:v>
      </x:c>
      <x:c r="P428" t="n">
        <x:v>7</x:v>
      </x:c>
      <x:c r="Q428" s="18" t="n">
        <x:v>5010000</x:v>
      </x:c>
      <x:c r="R428" s="18" t="n">
        <x:f>IFERROR(Q428/N428,"")</x:f>
        <x:v>62860.727728983686</x:v>
      </x:c>
      <x:c r="S428" t="n">
        <x:v>1960</x:v>
      </x:c>
      <x:c r="T428" t="n">
        <x:v>66</x:v>
      </x:c>
      <x:c r="U428" t="str">
        <x:v>Good</x:v>
      </x:c>
      <x:c r="V428" s="16" t="n">
        <x:v>0</x:v>
      </x:c>
      <x:c r="W428" t="str"/>
      <x:c r="X428" t="n">
        <x:v>1</x:v>
      </x:c>
      <x:c r="Y428" s="16" t="n">
        <x:v>8.8</x:v>
      </x:c>
      <x:c r="Z428" s="1" t="b">
        <x:v>1</x:v>
      </x:c>
      <x:c r="AA428" t="str">
        <x:v>East</x:v>
      </x:c>
      <x:c r="AB428" s="16" t="n">
        <x:v>0</x:v>
      </x:c>
      <x:c r="AC428" s="16" t="n">
        <x:v>0</x:v>
      </x:c>
      <x:c r="AD428" s="1" t="b">
        <x:v>0</x:v>
      </x:c>
    </x:row>
    <x:row r="429">
      <x:c r="A429" t="str">
        <x:v>SYN-0428</x:v>
      </x:c>
      <x:c r="B429" s="12" t="n">
        <x:v>46232</x:v>
      </x:c>
      <x:c r="C429" t="str">
        <x:v>Synthetic Yad2-like Listing</x:v>
      </x:c>
      <x:c r="D429" t="str">
        <x:v>https://example.com/listings/SYN-0428</x:v>
      </x:c>
      <x:c r="E429" t="str">
        <x:v>Second Hand</x:v>
      </x:c>
      <x:c r="F429" t="str"/>
      <x:c r="G429" t="str"/>
      <x:c r="H429" t="str">
        <x:v>Biltmore 168, Tel Aviv</x:v>
      </x:c>
      <x:c r="I429" t="str">
        <x:v>Tel Aviv</x:v>
      </x:c>
      <x:c r="J429" t="str">
        <x:v>Kikar HaMedina / New North</x:v>
      </x:c>
      <x:c r="K429" s="14" t="n">
        <x:v>0.89</x:v>
      </x:c>
      <x:c r="L429" t="str">
        <x:v>Apartment</x:v>
      </x:c>
      <x:c r="M429" t="n">
        <x:v>2</x:v>
      </x:c>
      <x:c r="N429" s="16" t="n">
        <x:v>51</x:v>
      </x:c>
      <x:c r="O429" t="n">
        <x:v>11</x:v>
      </x:c>
      <x:c r="P429" t="n">
        <x:v>14</x:v>
      </x:c>
      <x:c r="Q429" s="18" t="n">
        <x:v>3550000</x:v>
      </x:c>
      <x:c r="R429" s="18" t="n">
        <x:f>IFERROR(Q429/N429,"")</x:f>
        <x:v>69607.8431372549</x:v>
      </x:c>
      <x:c r="S429" t="n">
        <x:v>2009</x:v>
      </x:c>
      <x:c r="T429" t="n">
        <x:v>17</x:v>
      </x:c>
      <x:c r="U429" t="str">
        <x:v>Good</x:v>
      </x:c>
      <x:c r="V429" s="16" t="n">
        <x:v>0</x:v>
      </x:c>
      <x:c r="W429" t="str"/>
      <x:c r="X429" t="n">
        <x:v>1</x:v>
      </x:c>
      <x:c r="Y429" s="16" t="n">
        <x:v>0</x:v>
      </x:c>
      <x:c r="Z429" s="1" t="b">
        <x:v>1</x:v>
      </x:c>
      <x:c r="AA429" t="str">
        <x:v>East-West</x:v>
      </x:c>
      <x:c r="AB429" s="16" t="n">
        <x:v>0</x:v>
      </x:c>
      <x:c r="AC429" s="16" t="n">
        <x:v>0</x:v>
      </x:c>
      <x:c r="AD429" s="1" t="b">
        <x:v>0</x:v>
      </x:c>
    </x:row>
    <x:row r="430">
      <x:c r="A430" t="str">
        <x:v>SYN-0429</x:v>
      </x:c>
      <x:c r="B430" s="12" t="n">
        <x:v>46242</x:v>
      </x:c>
      <x:c r="C430" t="str">
        <x:v>Synthetic New-Project Listing</x:v>
      </x:c>
      <x:c r="D430" t="str">
        <x:v>https://example.com/listings/SYN-0429</x:v>
      </x:c>
      <x:c r="E430" t="str">
        <x:v>New Project</x:v>
      </x:c>
      <x:c r="F430" t="str">
        <x:v>Weizmann Urban</x:v>
      </x:c>
      <x:c r="G430" t="str">
        <x:v>Sample Development B</x:v>
      </x:c>
      <x:c r="H430" t="str">
        <x:v>Pinkas 47, Tel Aviv</x:v>
      </x:c>
      <x:c r="I430" t="str">
        <x:v>Tel Aviv</x:v>
      </x:c>
      <x:c r="J430" t="str">
        <x:v>Kikar HaMedina / New North</x:v>
      </x:c>
      <x:c r="K430" s="14" t="n">
        <x:v>0.48</x:v>
      </x:c>
      <x:c r="L430" t="str">
        <x:v>Apartment</x:v>
      </x:c>
      <x:c r="M430" t="n">
        <x:v>3</x:v>
      </x:c>
      <x:c r="N430" s="16" t="n">
        <x:v>78.4</x:v>
      </x:c>
      <x:c r="O430" t="n">
        <x:v>12</x:v>
      </x:c>
      <x:c r="P430" t="n">
        <x:v>16</x:v>
      </x:c>
      <x:c r="Q430" s="18" t="n">
        <x:v>6500000</x:v>
      </x:c>
      <x:c r="R430" s="18" t="n">
        <x:f>IFERROR(Q430/N430,"")</x:f>
        <x:v>82908.16326530611</x:v>
      </x:c>
      <x:c r="S430" t="n">
        <x:v>2026</x:v>
      </x:c>
      <x:c r="T430" t="n">
        <x:v>0</x:v>
      </x:c>
      <x:c r="U430" t="str">
        <x:v>New</x:v>
      </x:c>
      <x:c r="V430" s="16" t="n">
        <x:v>19.6</x:v>
      </x:c>
      <x:c r="W430" t="str">
        <x:v>North-West</x:v>
      </x:c>
      <x:c r="X430" t="n">
        <x:v>1</x:v>
      </x:c>
      <x:c r="Y430" s="16" t="n">
        <x:v>6.5</x:v>
      </x:c>
      <x:c r="Z430" s="1" t="b">
        <x:v>1</x:v>
      </x:c>
      <x:c r="AA430" t="str">
        <x:v>North-West, East</x:v>
      </x:c>
      <x:c r="AB430" s="16" t="n">
        <x:v>0</x:v>
      </x:c>
      <x:c r="AC430" s="16" t="n">
        <x:v>0</x:v>
      </x:c>
      <x:c r="AD430" s="1" t="b">
        <x:v>0</x:v>
      </x:c>
    </x:row>
    <x:row r="431">
      <x:c r="A431" t="str">
        <x:v>SYN-0430</x:v>
      </x:c>
      <x:c r="B431" s="12" t="n">
        <x:v>46204</x:v>
      </x:c>
      <x:c r="C431" t="str">
        <x:v>Synthetic New-Project Listing</x:v>
      </x:c>
      <x:c r="D431" t="str">
        <x:v>https://example.com/listings/SYN-0430</x:v>
      </x:c>
      <x:c r="E431" t="str">
        <x:v>New Project</x:v>
      </x:c>
      <x:c r="F431" t="str">
        <x:v>Kikar Residence</x:v>
      </x:c>
      <x:c r="G431" t="str">
        <x:v>Sample Development A</x:v>
      </x:c>
      <x:c r="H431" t="str">
        <x:v>Pinkas 64, Tel Aviv</x:v>
      </x:c>
      <x:c r="I431" t="str">
        <x:v>Tel Aviv</x:v>
      </x:c>
      <x:c r="J431" t="str">
        <x:v>Kikar HaMedina / New North</x:v>
      </x:c>
      <x:c r="K431" s="14" t="n">
        <x:v>0.54</x:v>
      </x:c>
      <x:c r="L431" t="str">
        <x:v>Apartment</x:v>
      </x:c>
      <x:c r="M431" t="n">
        <x:v>2</x:v>
      </x:c>
      <x:c r="N431" s="16" t="n">
        <x:v>52</x:v>
      </x:c>
      <x:c r="O431" t="n">
        <x:v>7</x:v>
      </x:c>
      <x:c r="P431" t="n">
        <x:v>18</x:v>
      </x:c>
      <x:c r="Q431" s="18" t="n">
        <x:v>4670000</x:v>
      </x:c>
      <x:c r="R431" s="18" t="n">
        <x:f>IFERROR(Q431/N431,"")</x:f>
        <x:v>89807.69230769231</x:v>
      </x:c>
      <x:c r="S431" t="n">
        <x:v>2025</x:v>
      </x:c>
      <x:c r="T431" t="n">
        <x:v>1</x:v>
      </x:c>
      <x:c r="U431" t="str">
        <x:v>New</x:v>
      </x:c>
      <x:c r="V431" s="16" t="n">
        <x:v>16.4</x:v>
      </x:c>
      <x:c r="W431" t="str">
        <x:v>North</x:v>
      </x:c>
      <x:c r="X431" t="n">
        <x:v>1</x:v>
      </x:c>
      <x:c r="Y431" s="16" t="n">
        <x:v>3.1</x:v>
      </x:c>
      <x:c r="Z431" s="1" t="b">
        <x:v>1</x:v>
      </x:c>
      <x:c r="AA431" t="str">
        <x:v>North, North</x:v>
      </x:c>
      <x:c r="AB431" s="16" t="n">
        <x:v>0</x:v>
      </x:c>
      <x:c r="AC431" s="16" t="n">
        <x:v>0</x:v>
      </x:c>
      <x:c r="AD431" s="1" t="b">
        <x:v>0</x:v>
      </x:c>
    </x:row>
    <x:row r="432">
      <x:c r="A432" t="str">
        <x:v>SYN-0431</x:v>
      </x:c>
      <x:c r="B432" s="12" t="n">
        <x:v>46204</x:v>
      </x:c>
      <x:c r="C432" t="str">
        <x:v>Synthetic Yad2-like Listing</x:v>
      </x:c>
      <x:c r="D432" t="str">
        <x:v>https://example.com/listings/SYN-0431</x:v>
      </x:c>
      <x:c r="E432" t="str">
        <x:v>Second Hand</x:v>
      </x:c>
      <x:c r="F432" t="str"/>
      <x:c r="G432" t="str"/>
      <x:c r="H432" t="str">
        <x:v>Klay 27, Tel Aviv</x:v>
      </x:c>
      <x:c r="I432" t="str">
        <x:v>Tel Aviv</x:v>
      </x:c>
      <x:c r="J432" t="str">
        <x:v>Kikar HaMedina / New North</x:v>
      </x:c>
      <x:c r="K432" s="14" t="n">
        <x:v>0.71</x:v>
      </x:c>
      <x:c r="L432" t="str">
        <x:v>Apartment</x:v>
      </x:c>
      <x:c r="M432" t="n">
        <x:v>2</x:v>
      </x:c>
      <x:c r="N432" s="16" t="n">
        <x:v>56.3</x:v>
      </x:c>
      <x:c r="O432" t="n">
        <x:v>5</x:v>
      </x:c>
      <x:c r="P432" t="n">
        <x:v>17</x:v>
      </x:c>
      <x:c r="Q432" s="18" t="n">
        <x:v>4100000</x:v>
      </x:c>
      <x:c r="R432" s="18" t="n">
        <x:f>IFERROR(Q432/N432,"")</x:f>
        <x:v>72824.15630550621</x:v>
      </x:c>
      <x:c r="S432" t="n">
        <x:v>1994</x:v>
      </x:c>
      <x:c r="T432" t="n">
        <x:v>32</x:v>
      </x:c>
      <x:c r="U432" t="str">
        <x:v>Good</x:v>
      </x:c>
      <x:c r="V432" s="16" t="n">
        <x:v>20.2</x:v>
      </x:c>
      <x:c r="W432" t="str">
        <x:v>South-West</x:v>
      </x:c>
      <x:c r="X432" t="n">
        <x:v>0</x:v>
      </x:c>
      <x:c r="Y432" s="16" t="n">
        <x:v>6.4</x:v>
      </x:c>
      <x:c r="Z432" s="1" t="b">
        <x:v>1</x:v>
      </x:c>
      <x:c r="AA432" t="str">
        <x:v>South-West, East</x:v>
      </x:c>
      <x:c r="AB432" s="16" t="n">
        <x:v>0</x:v>
      </x:c>
      <x:c r="AC432" s="16" t="n">
        <x:v>0</x:v>
      </x:c>
      <x:c r="AD432" s="1" t="b">
        <x:v>0</x:v>
      </x:c>
    </x:row>
    <x:row r="433">
      <x:c r="A433" t="str">
        <x:v>SYN-0432</x:v>
      </x:c>
      <x:c r="B433" s="12" t="n">
        <x:v>46211</x:v>
      </x:c>
      <x:c r="C433" t="str">
        <x:v>Synthetic Yad2-like Listing</x:v>
      </x:c>
      <x:c r="D433" t="str">
        <x:v>https://example.com/listings/SYN-0432</x:v>
      </x:c>
      <x:c r="E433" t="str">
        <x:v>Second Hand</x:v>
      </x:c>
      <x:c r="F433" t="str"/>
      <x:c r="G433" t="str"/>
      <x:c r="H433" t="str">
        <x:v>Weizmann 58, Tel Aviv</x:v>
      </x:c>
      <x:c r="I433" t="str">
        <x:v>Tel Aviv</x:v>
      </x:c>
      <x:c r="J433" t="str">
        <x:v>Kikar HaMedina / New North</x:v>
      </x:c>
      <x:c r="K433" s="14" t="n">
        <x:v>0.35</x:v>
      </x:c>
      <x:c r="L433" t="str">
        <x:v>Apartment</x:v>
      </x:c>
      <x:c r="M433" t="n">
        <x:v>2</x:v>
      </x:c>
      <x:c r="N433" s="16" t="n">
        <x:v>52</x:v>
      </x:c>
      <x:c r="O433" t="n">
        <x:v>2</x:v>
      </x:c>
      <x:c r="P433" t="n">
        <x:v>9</x:v>
      </x:c>
      <x:c r="Q433" s="18" t="n">
        <x:v>4260000</x:v>
      </x:c>
      <x:c r="R433" s="18" t="n">
        <x:f>IFERROR(Q433/N433,"")</x:f>
        <x:v>81923.07692307692</x:v>
      </x:c>
      <x:c r="S433" t="n">
        <x:v>1991</x:v>
      </x:c>
      <x:c r="T433" t="n">
        <x:v>35</x:v>
      </x:c>
      <x:c r="U433" t="str">
        <x:v>Renovated</x:v>
      </x:c>
      <x:c r="V433" s="16" t="n">
        <x:v>22.1</x:v>
      </x:c>
      <x:c r="W433" t="str">
        <x:v>South-East</x:v>
      </x:c>
      <x:c r="X433" t="n">
        <x:v>1</x:v>
      </x:c>
      <x:c r="Y433" s="16" t="n">
        <x:v>0</x:v>
      </x:c>
      <x:c r="Z433" s="1" t="b">
        <x:v>0</x:v>
      </x:c>
      <x:c r="AA433" t="str">
        <x:v>South-East, South</x:v>
      </x:c>
      <x:c r="AB433" s="16" t="n">
        <x:v>0</x:v>
      </x:c>
      <x:c r="AC433" s="16" t="n">
        <x:v>0</x:v>
      </x:c>
      <x:c r="AD433" s="1" t="b">
        <x:v>0</x:v>
      </x:c>
    </x:row>
    <x:row r="434">
      <x:c r="A434" t="str">
        <x:v>SYN-0433</x:v>
      </x:c>
      <x:c r="B434" s="12" t="n">
        <x:v>46213</x:v>
      </x:c>
      <x:c r="C434" t="str">
        <x:v>Synthetic New-Project Listing</x:v>
      </x:c>
      <x:c r="D434" t="str">
        <x:v>https://example.com/listings/SYN-0433</x:v>
      </x:c>
      <x:c r="E434" t="str">
        <x:v>New Project</x:v>
      </x:c>
      <x:c r="F434" t="str">
        <x:v>Kikar Residence</x:v>
      </x:c>
      <x:c r="G434" t="str">
        <x:v>Sample Development A</x:v>
      </x:c>
      <x:c r="H434" t="str">
        <x:v>Bavli 68, Tel Aviv</x:v>
      </x:c>
      <x:c r="I434" t="str">
        <x:v>Tel Aviv</x:v>
      </x:c>
      <x:c r="J434" t="str">
        <x:v>Kikar HaMedina / New North</x:v>
      </x:c>
      <x:c r="K434" s="14" t="n">
        <x:v>0.85</x:v>
      </x:c>
      <x:c r="L434" t="str">
        <x:v>Garden Apartment</x:v>
      </x:c>
      <x:c r="M434" t="n">
        <x:v>5</x:v>
      </x:c>
      <x:c r="N434" s="16" t="n">
        <x:v>114.2</x:v>
      </x:c>
      <x:c r="O434" t="n">
        <x:v>0</x:v>
      </x:c>
      <x:c r="P434" t="n">
        <x:v>13</x:v>
      </x:c>
      <x:c r="Q434" s="18" t="n">
        <x:v>10490000</x:v>
      </x:c>
      <x:c r="R434" s="18" t="n">
        <x:f>IFERROR(Q434/N434,"")</x:f>
        <x:v>91856.39229422067</x:v>
      </x:c>
      <x:c r="S434" t="n">
        <x:v>2026</x:v>
      </x:c>
      <x:c r="T434" t="n">
        <x:v>0</x:v>
      </x:c>
      <x:c r="U434" t="str">
        <x:v>New</x:v>
      </x:c>
      <x:c r="V434" s="16" t="n">
        <x:v>46.8</x:v>
      </x:c>
      <x:c r="W434" t="str">
        <x:v>South-East</x:v>
      </x:c>
      <x:c r="X434" t="n">
        <x:v>1</x:v>
      </x:c>
      <x:c r="Y434" s="16" t="n">
        <x:v>8.7</x:v>
      </x:c>
      <x:c r="Z434" s="1" t="b">
        <x:v>1</x:v>
      </x:c>
      <x:c r="AA434" t="str">
        <x:v>South-East</x:v>
      </x:c>
      <x:c r="AB434" s="16" t="n">
        <x:v>60.4</x:v>
      </x:c>
      <x:c r="AC434" s="16" t="n">
        <x:v>0</x:v>
      </x:c>
      <x:c r="AD434" s="1" t="b">
        <x:v>0</x:v>
      </x:c>
    </x:row>
    <x:row r="435">
      <x:c r="A435" t="str">
        <x:v>SYN-0434</x:v>
      </x:c>
      <x:c r="B435" s="12" t="n">
        <x:v>46255</x:v>
      </x:c>
      <x:c r="C435" t="str">
        <x:v>Synthetic Yad2-like Listing</x:v>
      </x:c>
      <x:c r="D435" t="str">
        <x:v>https://example.com/listings/SYN-0434</x:v>
      </x:c>
      <x:c r="E435" t="str">
        <x:v>Second Hand</x:v>
      </x:c>
      <x:c r="F435" t="str"/>
      <x:c r="G435" t="str"/>
      <x:c r="H435" t="str">
        <x:v>Biltmore 124, Tel Aviv</x:v>
      </x:c>
      <x:c r="I435" t="str">
        <x:v>Tel Aviv</x:v>
      </x:c>
      <x:c r="J435" t="str">
        <x:v>Kikar HaMedina / New North</x:v>
      </x:c>
      <x:c r="K435" s="14" t="n">
        <x:v>0.84</x:v>
      </x:c>
      <x:c r="L435" t="str">
        <x:v>Apartment</x:v>
      </x:c>
      <x:c r="M435" t="n">
        <x:v>2</x:v>
      </x:c>
      <x:c r="N435" s="16" t="n">
        <x:v>48.1</x:v>
      </x:c>
      <x:c r="O435" t="n">
        <x:v>7</x:v>
      </x:c>
      <x:c r="P435" t="n">
        <x:v>15</x:v>
      </x:c>
      <x:c r="Q435" s="18" t="n">
        <x:v>3780000</x:v>
      </x:c>
      <x:c r="R435" s="18" t="n">
        <x:f>IFERROR(Q435/N435,"")</x:f>
        <x:v>78586.27858627858</x:v>
      </x:c>
      <x:c r="S435" t="n">
        <x:v>1982</x:v>
      </x:c>
      <x:c r="T435" t="n">
        <x:v>44</x:v>
      </x:c>
      <x:c r="U435" t="str">
        <x:v>Renovated</x:v>
      </x:c>
      <x:c r="V435" s="16" t="n">
        <x:v>14.8</x:v>
      </x:c>
      <x:c r="W435" t="str">
        <x:v>North-East</x:v>
      </x:c>
      <x:c r="X435" t="n">
        <x:v>1</x:v>
      </x:c>
      <x:c r="Y435" s="16" t="n">
        <x:v>3.9</x:v>
      </x:c>
      <x:c r="Z435" s="1" t="b">
        <x:v>1</x:v>
      </x:c>
      <x:c r="AA435" t="str">
        <x:v>North-East, West</x:v>
      </x:c>
      <x:c r="AB435" s="16" t="n">
        <x:v>0</x:v>
      </x:c>
      <x:c r="AC435" s="16" t="n">
        <x:v>0</x:v>
      </x:c>
      <x:c r="AD435" s="1" t="b">
        <x:v>0</x:v>
      </x:c>
    </x:row>
    <x:row r="436">
      <x:c r="A436" t="str">
        <x:v>SYN-0435</x:v>
      </x:c>
      <x:c r="B436" s="12" t="n">
        <x:v>46212</x:v>
      </x:c>
      <x:c r="C436" t="str">
        <x:v>Synthetic Yad2-like Listing</x:v>
      </x:c>
      <x:c r="D436" t="str">
        <x:v>https://example.com/listings/SYN-0435</x:v>
      </x:c>
      <x:c r="E436" t="str">
        <x:v>Second Hand</x:v>
      </x:c>
      <x:c r="F436" t="str"/>
      <x:c r="G436" t="str"/>
      <x:c r="H436" t="str">
        <x:v>Jabotinsky 1, Tel Aviv</x:v>
      </x:c>
      <x:c r="I436" t="str">
        <x:v>Tel Aviv</x:v>
      </x:c>
      <x:c r="J436" t="str">
        <x:v>Kikar HaMedina / New North</x:v>
      </x:c>
      <x:c r="K436" s="14" t="n">
        <x:v>0.53</x:v>
      </x:c>
      <x:c r="L436" t="str">
        <x:v>Apartment</x:v>
      </x:c>
      <x:c r="M436" t="n">
        <x:v>5</x:v>
      </x:c>
      <x:c r="N436" s="16" t="n">
        <x:v>122</x:v>
      </x:c>
      <x:c r="O436" t="n">
        <x:v>8</x:v>
      </x:c>
      <x:c r="P436" t="n">
        <x:v>16</x:v>
      </x:c>
      <x:c r="Q436" s="18" t="n">
        <x:v>8650000</x:v>
      </x:c>
      <x:c r="R436" s="18" t="n">
        <x:f>IFERROR(Q436/N436,"")</x:f>
        <x:v>70901.6393442623</x:v>
      </x:c>
      <x:c r="S436" t="n">
        <x:v>2004</x:v>
      </x:c>
      <x:c r="T436" t="n">
        <x:v>22</x:v>
      </x:c>
      <x:c r="U436" t="str">
        <x:v>Good</x:v>
      </x:c>
      <x:c r="V436" s="16" t="n">
        <x:v>20.9</x:v>
      </x:c>
      <x:c r="W436" t="str">
        <x:v>West</x:v>
      </x:c>
      <x:c r="X436" t="n">
        <x:v>1</x:v>
      </x:c>
      <x:c r="Y436" s="16" t="n">
        <x:v>0</x:v>
      </x:c>
      <x:c r="Z436" s="1" t="b">
        <x:v>1</x:v>
      </x:c>
      <x:c r="AA436" t="str">
        <x:v>West</x:v>
      </x:c>
      <x:c r="AB436" s="16" t="n">
        <x:v>0</x:v>
      </x:c>
      <x:c r="AC436" s="16" t="n">
        <x:v>0</x:v>
      </x:c>
      <x:c r="AD436" s="1" t="b">
        <x:v>0</x:v>
      </x:c>
    </x:row>
    <x:row r="437">
      <x:c r="A437" t="str">
        <x:v>SYN-0436</x:v>
      </x:c>
      <x:c r="B437" s="12" t="n">
        <x:v>46231</x:v>
      </x:c>
      <x:c r="C437" t="str">
        <x:v>Synthetic Yad2-like Listing</x:v>
      </x:c>
      <x:c r="D437" t="str">
        <x:v>https://example.com/listings/SYN-0436</x:v>
      </x:c>
      <x:c r="E437" t="str">
        <x:v>Second Hand</x:v>
      </x:c>
      <x:c r="F437" t="str"/>
      <x:c r="G437" t="str"/>
      <x:c r="H437" t="str">
        <x:v>Pinkas 31, Tel Aviv</x:v>
      </x:c>
      <x:c r="I437" t="str">
        <x:v>Tel Aviv</x:v>
      </x:c>
      <x:c r="J437" t="str">
        <x:v>Kikar HaMedina / New North</x:v>
      </x:c>
      <x:c r="K437" s="14" t="n">
        <x:v>0.39</x:v>
      </x:c>
      <x:c r="L437" t="str">
        <x:v>Apartment</x:v>
      </x:c>
      <x:c r="M437" t="n">
        <x:v>2</x:v>
      </x:c>
      <x:c r="N437" s="16" t="n">
        <x:v>50.9</x:v>
      </x:c>
      <x:c r="O437" t="n">
        <x:v>12</x:v>
      </x:c>
      <x:c r="P437" t="n">
        <x:v>14</x:v>
      </x:c>
      <x:c r="Q437" s="18" t="n">
        <x:v>3420000</x:v>
      </x:c>
      <x:c r="R437" s="18" t="n">
        <x:f>IFERROR(Q437/N437,"")</x:f>
        <x:v>67190.56974459725</x:v>
      </x:c>
      <x:c r="S437" t="n">
        <x:v>2012</x:v>
      </x:c>
      <x:c r="T437" t="n">
        <x:v>14</x:v>
      </x:c>
      <x:c r="U437" t="str">
        <x:v>Renovated</x:v>
      </x:c>
      <x:c r="V437" s="16" t="n">
        <x:v>0</x:v>
      </x:c>
      <x:c r="W437" t="str"/>
      <x:c r="X437" t="n">
        <x:v>0</x:v>
      </x:c>
      <x:c r="Y437" s="16" t="n">
        <x:v>0</x:v>
      </x:c>
      <x:c r="Z437" s="1" t="b">
        <x:v>1</x:v>
      </x:c>
      <x:c r="AA437" t="str">
        <x:v>East</x:v>
      </x:c>
      <x:c r="AB437" s="16" t="n">
        <x:v>0</x:v>
      </x:c>
      <x:c r="AC437" s="16" t="n">
        <x:v>0</x:v>
      </x:c>
      <x:c r="AD437" s="1" t="b">
        <x:v>0</x:v>
      </x:c>
    </x:row>
    <x:row r="438">
      <x:c r="A438" t="str">
        <x:v>SYN-0437</x:v>
      </x:c>
      <x:c r="B438" s="12" t="n">
        <x:v>46248</x:v>
      </x:c>
      <x:c r="C438" t="str">
        <x:v>Synthetic New-Project Listing</x:v>
      </x:c>
      <x:c r="D438" t="str">
        <x:v>https://example.com/listings/SYN-0437</x:v>
      </x:c>
      <x:c r="E438" t="str">
        <x:v>New Project</x:v>
      </x:c>
      <x:c r="F438" t="str">
        <x:v>Weizmann Urban</x:v>
      </x:c>
      <x:c r="G438" t="str">
        <x:v>Sample Development B</x:v>
      </x:c>
      <x:c r="H438" t="str">
        <x:v>Pinkas 136, Tel Aviv</x:v>
      </x:c>
      <x:c r="I438" t="str">
        <x:v>Tel Aviv</x:v>
      </x:c>
      <x:c r="J438" t="str">
        <x:v>Kikar HaMedina / New North</x:v>
      </x:c>
      <x:c r="K438" s="14" t="n">
        <x:v>0.41</x:v>
      </x:c>
      <x:c r="L438" t="str">
        <x:v>Apartment</x:v>
      </x:c>
      <x:c r="M438" t="n">
        <x:v>4</x:v>
      </x:c>
      <x:c r="N438" s="16" t="n">
        <x:v>101.3</x:v>
      </x:c>
      <x:c r="O438" t="n">
        <x:v>1</x:v>
      </x:c>
      <x:c r="P438" t="n">
        <x:v>11</x:v>
      </x:c>
      <x:c r="Q438" s="18" t="n">
        <x:v>8060000</x:v>
      </x:c>
      <x:c r="R438" s="18" t="n">
        <x:f>IFERROR(Q438/N438,"")</x:f>
        <x:v>79565.64659427444</x:v>
      </x:c>
      <x:c r="S438" t="n">
        <x:v>2026</x:v>
      </x:c>
      <x:c r="T438" t="n">
        <x:v>0</x:v>
      </x:c>
      <x:c r="U438" t="str">
        <x:v>New</x:v>
      </x:c>
      <x:c r="V438" s="16" t="n">
        <x:v>8.5</x:v>
      </x:c>
      <x:c r="W438" t="str">
        <x:v>North-West</x:v>
      </x:c>
      <x:c r="X438" t="n">
        <x:v>1</x:v>
      </x:c>
      <x:c r="Y438" s="16" t="n">
        <x:v>3.1</x:v>
      </x:c>
      <x:c r="Z438" s="1" t="b">
        <x:v>1</x:v>
      </x:c>
      <x:c r="AA438" t="str">
        <x:v>North-West, South</x:v>
      </x:c>
      <x:c r="AB438" s="16" t="n">
        <x:v>0</x:v>
      </x:c>
      <x:c r="AC438" s="16" t="n">
        <x:v>0</x:v>
      </x:c>
      <x:c r="AD438" s="1" t="b">
        <x:v>0</x:v>
      </x:c>
    </x:row>
    <x:row r="439">
      <x:c r="A439" t="str">
        <x:v>SYN-0438</x:v>
      </x:c>
      <x:c r="B439" s="12" t="n">
        <x:v>46228</x:v>
      </x:c>
      <x:c r="C439" t="str">
        <x:v>Synthetic New-Project Listing</x:v>
      </x:c>
      <x:c r="D439" t="str">
        <x:v>https://example.com/listings/SYN-0438</x:v>
      </x:c>
      <x:c r="E439" t="str">
        <x:v>New Project</x:v>
      </x:c>
      <x:c r="F439" t="str">
        <x:v>Helsinki Gardens</x:v>
      </x:c>
      <x:c r="G439" t="str">
        <x:v>Sample Development C</x:v>
      </x:c>
      <x:c r="H439" t="str">
        <x:v>Epstein 129, Tel Aviv</x:v>
      </x:c>
      <x:c r="I439" t="str">
        <x:v>Tel Aviv</x:v>
      </x:c>
      <x:c r="J439" t="str">
        <x:v>Kikar HaMedina / New North</x:v>
      </x:c>
      <x:c r="K439" s="14" t="n">
        <x:v>0.86</x:v>
      </x:c>
      <x:c r="L439" t="str">
        <x:v>Apartment</x:v>
      </x:c>
      <x:c r="M439" t="n">
        <x:v>2</x:v>
      </x:c>
      <x:c r="N439" s="16" t="n">
        <x:v>46.8</x:v>
      </x:c>
      <x:c r="O439" t="n">
        <x:v>10</x:v>
      </x:c>
      <x:c r="P439" t="n">
        <x:v>11</x:v>
      </x:c>
      <x:c r="Q439" s="18" t="n">
        <x:v>3940000</x:v>
      </x:c>
      <x:c r="R439" s="18" t="n">
        <x:f>IFERROR(Q439/N439,"")</x:f>
        <x:v>84188.03418803419</x:v>
      </x:c>
      <x:c r="S439" t="n">
        <x:v>2027</x:v>
      </x:c>
      <x:c r="T439" t="n">
        <x:v>0</x:v>
      </x:c>
      <x:c r="U439" t="str">
        <x:v>New</x:v>
      </x:c>
      <x:c r="V439" s="16" t="n">
        <x:v>14.3</x:v>
      </x:c>
      <x:c r="W439" t="str">
        <x:v>South-East</x:v>
      </x:c>
      <x:c r="X439" t="n">
        <x:v>1</x:v>
      </x:c>
      <x:c r="Y439" s="16" t="n">
        <x:v>0</x:v>
      </x:c>
      <x:c r="Z439" s="1" t="b">
        <x:v>1</x:v>
      </x:c>
      <x:c r="AA439" t="str">
        <x:v>South-East</x:v>
      </x:c>
      <x:c r="AB439" s="16" t="n">
        <x:v>0</x:v>
      </x:c>
      <x:c r="AC439" s="16" t="n">
        <x:v>0</x:v>
      </x:c>
      <x:c r="AD439" s="1" t="b">
        <x:v>1</x:v>
      </x:c>
    </x:row>
    <x:row r="440">
      <x:c r="A440" t="str">
        <x:v>SYN-0439</x:v>
      </x:c>
      <x:c r="B440" s="12" t="n">
        <x:v>46242</x:v>
      </x:c>
      <x:c r="C440" t="str">
        <x:v>Synthetic Yad2-like Listing</x:v>
      </x:c>
      <x:c r="D440" t="str">
        <x:v>https://example.com/listings/SYN-0439</x:v>
      </x:c>
      <x:c r="E440" t="str">
        <x:v>Second Hand</x:v>
      </x:c>
      <x:c r="F440" t="str"/>
      <x:c r="G440" t="str"/>
      <x:c r="H440" t="str">
        <x:v>Biltmore 96, Tel Aviv</x:v>
      </x:c>
      <x:c r="I440" t="str">
        <x:v>Tel Aviv</x:v>
      </x:c>
      <x:c r="J440" t="str">
        <x:v>Kikar HaMedina / New North</x:v>
      </x:c>
      <x:c r="K440" s="14" t="n">
        <x:v>0.92</x:v>
      </x:c>
      <x:c r="L440" t="str">
        <x:v>Apartment</x:v>
      </x:c>
      <x:c r="M440" t="n">
        <x:v>2</x:v>
      </x:c>
      <x:c r="N440" s="16" t="n">
        <x:v>49</x:v>
      </x:c>
      <x:c r="O440" t="n">
        <x:v>9</x:v>
      </x:c>
      <x:c r="P440" t="n">
        <x:v>10</x:v>
      </x:c>
      <x:c r="Q440" s="18" t="n">
        <x:v>3220000</x:v>
      </x:c>
      <x:c r="R440" s="18" t="n">
        <x:f>IFERROR(Q440/N440,"")</x:f>
        <x:v>65714.28571428571</x:v>
      </x:c>
      <x:c r="S440" t="n">
        <x:v>1989</x:v>
      </x:c>
      <x:c r="T440" t="n">
        <x:v>37</x:v>
      </x:c>
      <x:c r="U440" t="str">
        <x:v>Good</x:v>
      </x:c>
      <x:c r="V440" s="16" t="n">
        <x:v>0</x:v>
      </x:c>
      <x:c r="W440" t="str"/>
      <x:c r="X440" t="n">
        <x:v>1</x:v>
      </x:c>
      <x:c r="Y440" s="16" t="n">
        <x:v>0</x:v>
      </x:c>
      <x:c r="Z440" s="1" t="b">
        <x:v>1</x:v>
      </x:c>
      <x:c r="AA440" t="str">
        <x:v>North</x:v>
      </x:c>
      <x:c r="AB440" s="16" t="n">
        <x:v>0</x:v>
      </x:c>
      <x:c r="AC440" s="16" t="n">
        <x:v>0</x:v>
      </x:c>
      <x:c r="AD440" s="1" t="b">
        <x:v>1</x:v>
      </x:c>
    </x:row>
    <x:row r="441">
      <x:c r="A441" t="str">
        <x:v>SYN-0440</x:v>
      </x:c>
      <x:c r="B441" s="12" t="n">
        <x:v>46223</x:v>
      </x:c>
      <x:c r="C441" t="str">
        <x:v>Synthetic Yad2-like Listing</x:v>
      </x:c>
      <x:c r="D441" t="str">
        <x:v>https://example.com/listings/SYN-0440</x:v>
      </x:c>
      <x:c r="E441" t="str">
        <x:v>Second Hand</x:v>
      </x:c>
      <x:c r="F441" t="str"/>
      <x:c r="G441" t="str"/>
      <x:c r="H441" t="str">
        <x:v>Epstein 12, Tel Aviv</x:v>
      </x:c>
      <x:c r="I441" t="str">
        <x:v>Tel Aviv</x:v>
      </x:c>
      <x:c r="J441" t="str">
        <x:v>Kikar HaMedina / New North</x:v>
      </x:c>
      <x:c r="K441" s="14" t="n">
        <x:v>0.81</x:v>
      </x:c>
      <x:c r="L441" t="str">
        <x:v>Apartment</x:v>
      </x:c>
      <x:c r="M441" t="n">
        <x:v>3</x:v>
      </x:c>
      <x:c r="N441" s="16" t="n">
        <x:v>70.5</x:v>
      </x:c>
      <x:c r="O441" t="n">
        <x:v>2</x:v>
      </x:c>
      <x:c r="P441" t="n">
        <x:v>12</x:v>
      </x:c>
      <x:c r="Q441" s="18" t="n">
        <x:v>4450000</x:v>
      </x:c>
      <x:c r="R441" s="18" t="n">
        <x:f>IFERROR(Q441/N441,"")</x:f>
        <x:v>63120.56737588652</x:v>
      </x:c>
      <x:c r="S441" t="n">
        <x:v>1965</x:v>
      </x:c>
      <x:c r="T441" t="n">
        <x:v>61</x:v>
      </x:c>
      <x:c r="U441" t="str">
        <x:v>Needs Renovation</x:v>
      </x:c>
      <x:c r="V441" s="16" t="n">
        <x:v>8.2</x:v>
      </x:c>
      <x:c r="W441" t="str">
        <x:v>North-East</x:v>
      </x:c>
      <x:c r="X441" t="n">
        <x:v>1</x:v>
      </x:c>
      <x:c r="Y441" s="16" t="n">
        <x:v>9.5</x:v>
      </x:c>
      <x:c r="Z441" s="1" t="b">
        <x:v>1</x:v>
      </x:c>
      <x:c r="AA441" t="str">
        <x:v>North-East</x:v>
      </x:c>
      <x:c r="AB441" s="16" t="n">
        <x:v>0</x:v>
      </x:c>
      <x:c r="AC441" s="16" t="n">
        <x:v>0</x:v>
      </x:c>
      <x:c r="AD441" s="1" t="b">
        <x:v>0</x:v>
      </x:c>
    </x:row>
    <x:row r="442">
      <x:c r="A442" t="str">
        <x:v>SYN-0441</x:v>
      </x:c>
      <x:c r="B442" s="12" t="n">
        <x:v>46213</x:v>
      </x:c>
      <x:c r="C442" t="str">
        <x:v>Synthetic New-Project Listing</x:v>
      </x:c>
      <x:c r="D442" t="str">
        <x:v>https://example.com/listings/SYN-0441</x:v>
      </x:c>
      <x:c r="E442" t="str">
        <x:v>New Project</x:v>
      </x:c>
      <x:c r="F442" t="str">
        <x:v>Medina Boutique</x:v>
      </x:c>
      <x:c r="G442" t="str">
        <x:v>Sample Development E</x:v>
      </x:c>
      <x:c r="H442" t="str">
        <x:v>Weizmann 7, Tel Aviv</x:v>
      </x:c>
      <x:c r="I442" t="str">
        <x:v>Tel Aviv</x:v>
      </x:c>
      <x:c r="J442" t="str">
        <x:v>Kikar HaMedina / New North</x:v>
      </x:c>
      <x:c r="K442" s="14" t="n">
        <x:v>0.11</x:v>
      </x:c>
      <x:c r="L442" t="str">
        <x:v>Apartment</x:v>
      </x:c>
      <x:c r="M442" t="n">
        <x:v>3</x:v>
      </x:c>
      <x:c r="N442" s="16" t="n">
        <x:v>71.5</x:v>
      </x:c>
      <x:c r="O442" t="n">
        <x:v>6</x:v>
      </x:c>
      <x:c r="P442" t="n">
        <x:v>15</x:v>
      </x:c>
      <x:c r="Q442" s="18" t="n">
        <x:v>6020000</x:v>
      </x:c>
      <x:c r="R442" s="18" t="n">
        <x:f>IFERROR(Q442/N442,"")</x:f>
        <x:v>84195.8041958042</x:v>
      </x:c>
      <x:c r="S442" t="n">
        <x:v>2027</x:v>
      </x:c>
      <x:c r="T442" t="n">
        <x:v>0</x:v>
      </x:c>
      <x:c r="U442" t="str">
        <x:v>New</x:v>
      </x:c>
      <x:c r="V442" s="16" t="n">
        <x:v>19.6</x:v>
      </x:c>
      <x:c r="W442" t="str">
        <x:v>East</x:v>
      </x:c>
      <x:c r="X442" t="n">
        <x:v>1</x:v>
      </x:c>
      <x:c r="Y442" s="16" t="n">
        <x:v>5.9</x:v>
      </x:c>
      <x:c r="Z442" s="1" t="b">
        <x:v>1</x:v>
      </x:c>
      <x:c r="AA442" t="str">
        <x:v>East, South</x:v>
      </x:c>
      <x:c r="AB442" s="16" t="n">
        <x:v>0</x:v>
      </x:c>
      <x:c r="AC442" s="16" t="n">
        <x:v>0</x:v>
      </x:c>
      <x:c r="AD442" s="1" t="b">
        <x:v>0</x:v>
      </x:c>
    </x:row>
    <x:row r="443">
      <x:c r="A443" t="str">
        <x:v>SYN-0442</x:v>
      </x:c>
      <x:c r="B443" s="12" t="n">
        <x:v>46231</x:v>
      </x:c>
      <x:c r="C443" t="str">
        <x:v>Synthetic Yad2-like Listing</x:v>
      </x:c>
      <x:c r="D443" t="str">
        <x:v>https://example.com/listings/SYN-0442</x:v>
      </x:c>
      <x:c r="E443" t="str">
        <x:v>Second Hand</x:v>
      </x:c>
      <x:c r="F443" t="str"/>
      <x:c r="G443" t="str"/>
      <x:c r="H443" t="str">
        <x:v>Mosenzon 115, Tel Aviv</x:v>
      </x:c>
      <x:c r="I443" t="str">
        <x:v>Tel Aviv</x:v>
      </x:c>
      <x:c r="J443" t="str">
        <x:v>Kikar HaMedina / New North</x:v>
      </x:c>
      <x:c r="K443" s="14" t="n">
        <x:v>0.8</x:v>
      </x:c>
      <x:c r="L443" t="str">
        <x:v>Apartment</x:v>
      </x:c>
      <x:c r="M443" t="n">
        <x:v>2</x:v>
      </x:c>
      <x:c r="N443" s="16" t="n">
        <x:v>54.8</x:v>
      </x:c>
      <x:c r="O443" t="n">
        <x:v>11</x:v>
      </x:c>
      <x:c r="P443" t="n">
        <x:v>13</x:v>
      </x:c>
      <x:c r="Q443" s="18" t="n">
        <x:v>4120000</x:v>
      </x:c>
      <x:c r="R443" s="18" t="n">
        <x:f>IFERROR(Q443/N443,"")</x:f>
        <x:v>75182.48175182482</x:v>
      </x:c>
      <x:c r="S443" t="n">
        <x:v>1998</x:v>
      </x:c>
      <x:c r="T443" t="n">
        <x:v>28</x:v>
      </x:c>
      <x:c r="U443" t="str">
        <x:v>Good</x:v>
      </x:c>
      <x:c r="V443" s="16" t="n">
        <x:v>20.3</x:v>
      </x:c>
      <x:c r="W443" t="str">
        <x:v>East</x:v>
      </x:c>
      <x:c r="X443" t="n">
        <x:v>0</x:v>
      </x:c>
      <x:c r="Y443" s="16" t="n">
        <x:v>0</x:v>
      </x:c>
      <x:c r="Z443" s="1" t="b">
        <x:v>0</x:v>
      </x:c>
      <x:c r="AA443" t="str">
        <x:v>East, West</x:v>
      </x:c>
      <x:c r="AB443" s="16" t="n">
        <x:v>0</x:v>
      </x:c>
      <x:c r="AC443" s="16" t="n">
        <x:v>0</x:v>
      </x:c>
      <x:c r="AD443" s="1" t="b">
        <x:v>0</x:v>
      </x:c>
    </x:row>
    <x:row r="444">
      <x:c r="A444" t="str">
        <x:v>SYN-0443</x:v>
      </x:c>
      <x:c r="B444" s="12" t="n">
        <x:v>46215</x:v>
      </x:c>
      <x:c r="C444" t="str">
        <x:v>Synthetic New-Project Listing</x:v>
      </x:c>
      <x:c r="D444" t="str">
        <x:v>https://example.com/listings/SYN-0443</x:v>
      </x:c>
      <x:c r="E444" t="str">
        <x:v>New Project</x:v>
      </x:c>
      <x:c r="F444" t="str">
        <x:v>Medina Boutique</x:v>
      </x:c>
      <x:c r="G444" t="str">
        <x:v>Sample Development E</x:v>
      </x:c>
      <x:c r="H444" t="str">
        <x:v>Weizmann 44, Tel Aviv</x:v>
      </x:c>
      <x:c r="I444" t="str">
        <x:v>Tel Aviv</x:v>
      </x:c>
      <x:c r="J444" t="str">
        <x:v>Kikar HaMedina / New North</x:v>
      </x:c>
      <x:c r="K444" s="14" t="n">
        <x:v>0.16</x:v>
      </x:c>
      <x:c r="L444" t="str">
        <x:v>Apartment</x:v>
      </x:c>
      <x:c r="M444" t="n">
        <x:v>4</x:v>
      </x:c>
      <x:c r="N444" s="16" t="n">
        <x:v>101.7</x:v>
      </x:c>
      <x:c r="O444" t="n">
        <x:v>3</x:v>
      </x:c>
      <x:c r="P444" t="n">
        <x:v>7</x:v>
      </x:c>
      <x:c r="Q444" s="18" t="n">
        <x:v>8260000</x:v>
      </x:c>
      <x:c r="R444" s="18" t="n">
        <x:f>IFERROR(Q444/N444,"")</x:f>
        <x:v>81219.27236971485</x:v>
      </x:c>
      <x:c r="S444" t="n">
        <x:v>2026</x:v>
      </x:c>
      <x:c r="T444" t="n">
        <x:v>0</x:v>
      </x:c>
      <x:c r="U444" t="str">
        <x:v>New</x:v>
      </x:c>
      <x:c r="V444" s="16" t="n">
        <x:v>23.3</x:v>
      </x:c>
      <x:c r="W444" t="str">
        <x:v>South-West</x:v>
      </x:c>
      <x:c r="X444" t="n">
        <x:v>1</x:v>
      </x:c>
      <x:c r="Y444" s="16" t="n">
        <x:v>8.4</x:v>
      </x:c>
      <x:c r="Z444" s="1" t="b">
        <x:v>1</x:v>
      </x:c>
      <x:c r="AA444" t="str">
        <x:v>South-West, North</x:v>
      </x:c>
      <x:c r="AB444" s="16" t="n">
        <x:v>0</x:v>
      </x:c>
      <x:c r="AC444" s="16" t="n">
        <x:v>0</x:v>
      </x:c>
      <x:c r="AD444" s="1" t="b">
        <x:v>0</x:v>
      </x:c>
    </x:row>
    <x:row r="445">
      <x:c r="A445" t="str">
        <x:v>SYN-0444</x:v>
      </x:c>
      <x:c r="B445" s="12" t="n">
        <x:v>46227</x:v>
      </x:c>
      <x:c r="C445" t="str">
        <x:v>Synthetic Yad2-like Listing</x:v>
      </x:c>
      <x:c r="D445" t="str">
        <x:v>https://example.com/listings/SYN-0444</x:v>
      </x:c>
      <x:c r="E445" t="str">
        <x:v>Second Hand</x:v>
      </x:c>
      <x:c r="F445" t="str"/>
      <x:c r="G445" t="str"/>
      <x:c r="H445" t="str">
        <x:v>Epstein 175, Tel Aviv</x:v>
      </x:c>
      <x:c r="I445" t="str">
        <x:v>Tel Aviv</x:v>
      </x:c>
      <x:c r="J445" t="str">
        <x:v>Kikar HaMedina / New North</x:v>
      </x:c>
      <x:c r="K445" s="14" t="n">
        <x:v>0.85</x:v>
      </x:c>
      <x:c r="L445" t="str">
        <x:v>Apartment</x:v>
      </x:c>
      <x:c r="M445" t="n">
        <x:v>4</x:v>
      </x:c>
      <x:c r="N445" s="16" t="n">
        <x:v>107.7</x:v>
      </x:c>
      <x:c r="O445" t="n">
        <x:v>4</x:v>
      </x:c>
      <x:c r="P445" t="n">
        <x:v>17</x:v>
      </x:c>
      <x:c r="Q445" s="18" t="n">
        <x:v>7040000</x:v>
      </x:c>
      <x:c r="R445" s="18" t="n">
        <x:f>IFERROR(Q445/N445,"")</x:f>
        <x:v>65366.75951717734</x:v>
      </x:c>
      <x:c r="S445" t="n">
        <x:v>1978</x:v>
      </x:c>
      <x:c r="T445" t="n">
        <x:v>48</x:v>
      </x:c>
      <x:c r="U445" t="str">
        <x:v>Good</x:v>
      </x:c>
      <x:c r="V445" s="16" t="n">
        <x:v>10.2</x:v>
      </x:c>
      <x:c r="W445" t="str">
        <x:v>South</x:v>
      </x:c>
      <x:c r="X445" t="n">
        <x:v>0</x:v>
      </x:c>
      <x:c r="Y445" s="16" t="n">
        <x:v>0</x:v>
      </x:c>
      <x:c r="Z445" s="1" t="b">
        <x:v>1</x:v>
      </x:c>
      <x:c r="AA445" t="str">
        <x:v>South, East</x:v>
      </x:c>
      <x:c r="AB445" s="16" t="n">
        <x:v>0</x:v>
      </x:c>
      <x:c r="AC445" s="16" t="n">
        <x:v>0</x:v>
      </x:c>
      <x:c r="AD445" s="1" t="b">
        <x:v>0</x:v>
      </x:c>
    </x:row>
    <x:row r="446">
      <x:c r="A446" t="str">
        <x:v>SYN-0445</x:v>
      </x:c>
      <x:c r="B446" s="12" t="n">
        <x:v>46209</x:v>
      </x:c>
      <x:c r="C446" t="str">
        <x:v>Synthetic New-Project Listing</x:v>
      </x:c>
      <x:c r="D446" t="str">
        <x:v>https://example.com/listings/SYN-0445</x:v>
      </x:c>
      <x:c r="E446" t="str">
        <x:v>New Project</x:v>
      </x:c>
      <x:c r="F446" t="str">
        <x:v>North TLV Living</x:v>
      </x:c>
      <x:c r="G446" t="str">
        <x:v>Sample Development D</x:v>
      </x:c>
      <x:c r="H446" t="str">
        <x:v>Weizmann 172, Tel Aviv</x:v>
      </x:c>
      <x:c r="I446" t="str">
        <x:v>Tel Aviv</x:v>
      </x:c>
      <x:c r="J446" t="str">
        <x:v>Kikar HaMedina / New North</x:v>
      </x:c>
      <x:c r="K446" s="14" t="n">
        <x:v>0.28</x:v>
      </x:c>
      <x:c r="L446" t="str">
        <x:v>Apartment</x:v>
      </x:c>
      <x:c r="M446" t="n">
        <x:v>3</x:v>
      </x:c>
      <x:c r="N446" s="16" t="n">
        <x:v>75.4</x:v>
      </x:c>
      <x:c r="O446" t="n">
        <x:v>10</x:v>
      </x:c>
      <x:c r="P446" t="n">
        <x:v>11</x:v>
      </x:c>
      <x:c r="Q446" s="18" t="n">
        <x:v>6040000</x:v>
      </x:c>
      <x:c r="R446" s="18" t="n">
        <x:f>IFERROR(Q446/N446,"")</x:f>
        <x:v>80106.10079575596</x:v>
      </x:c>
      <x:c r="S446" t="n">
        <x:v>2027</x:v>
      </x:c>
      <x:c r="T446" t="n">
        <x:v>0</x:v>
      </x:c>
      <x:c r="U446" t="str">
        <x:v>New</x:v>
      </x:c>
      <x:c r="V446" s="16" t="n">
        <x:v>11.9</x:v>
      </x:c>
      <x:c r="W446" t="str">
        <x:v>North</x:v>
      </x:c>
      <x:c r="X446" t="n">
        <x:v>1</x:v>
      </x:c>
      <x:c r="Y446" s="16" t="n">
        <x:v>5.6</x:v>
      </x:c>
      <x:c r="Z446" s="1" t="b">
        <x:v>1</x:v>
      </x:c>
      <x:c r="AA446" t="str">
        <x:v>North</x:v>
      </x:c>
      <x:c r="AB446" s="16" t="n">
        <x:v>0</x:v>
      </x:c>
      <x:c r="AC446" s="16" t="n">
        <x:v>0</x:v>
      </x:c>
      <x:c r="AD446" s="1" t="b">
        <x:v>1</x:v>
      </x:c>
    </x:row>
    <x:row r="447">
      <x:c r="A447" t="str">
        <x:v>SYN-0446</x:v>
      </x:c>
      <x:c r="B447" s="12" t="n">
        <x:v>46242</x:v>
      </x:c>
      <x:c r="C447" t="str">
        <x:v>Synthetic New-Project Listing</x:v>
      </x:c>
      <x:c r="D447" t="str">
        <x:v>https://example.com/listings/SYN-0446</x:v>
      </x:c>
      <x:c r="E447" t="str">
        <x:v>New Project</x:v>
      </x:c>
      <x:c r="F447" t="str">
        <x:v>Helsinki Gardens</x:v>
      </x:c>
      <x:c r="G447" t="str">
        <x:v>Sample Development C</x:v>
      </x:c>
      <x:c r="H447" t="str">
        <x:v>Lissin 10, Tel Aviv</x:v>
      </x:c>
      <x:c r="I447" t="str">
        <x:v>Tel Aviv</x:v>
      </x:c>
      <x:c r="J447" t="str">
        <x:v>Kikar HaMedina / New North</x:v>
      </x:c>
      <x:c r="K447" s="14" t="n">
        <x:v>0.81</x:v>
      </x:c>
      <x:c r="L447" t="str">
        <x:v>Apartment</x:v>
      </x:c>
      <x:c r="M447" t="n">
        <x:v>2</x:v>
      </x:c>
      <x:c r="N447" s="16" t="n">
        <x:v>59.4</x:v>
      </x:c>
      <x:c r="O447" t="n">
        <x:v>6</x:v>
      </x:c>
      <x:c r="P447" t="n">
        <x:v>13</x:v>
      </x:c>
      <x:c r="Q447" s="18" t="n">
        <x:v>4960000</x:v>
      </x:c>
      <x:c r="R447" s="18" t="n">
        <x:f>IFERROR(Q447/N447,"")</x:f>
        <x:v>83501.68350168351</x:v>
      </x:c>
      <x:c r="S447" t="n">
        <x:v>2025</x:v>
      </x:c>
      <x:c r="T447" t="n">
        <x:v>1</x:v>
      </x:c>
      <x:c r="U447" t="str">
        <x:v>New</x:v>
      </x:c>
      <x:c r="V447" s="16" t="n">
        <x:v>13.1</x:v>
      </x:c>
      <x:c r="W447" t="str">
        <x:v>South-West</x:v>
      </x:c>
      <x:c r="X447" t="n">
        <x:v>1</x:v>
      </x:c>
      <x:c r="Y447" s="16" t="n">
        <x:v>0</x:v>
      </x:c>
      <x:c r="Z447" s="1" t="b">
        <x:v>1</x:v>
      </x:c>
      <x:c r="AA447" t="str">
        <x:v>South-West, South</x:v>
      </x:c>
      <x:c r="AB447" s="16" t="n">
        <x:v>0</x:v>
      </x:c>
      <x:c r="AC447" s="16" t="n">
        <x:v>0</x:v>
      </x:c>
      <x:c r="AD447" s="1" t="b">
        <x:v>0</x:v>
      </x:c>
    </x:row>
    <x:row r="448">
      <x:c r="A448" t="str">
        <x:v>SYN-0447</x:v>
      </x:c>
      <x:c r="B448" s="12" t="n">
        <x:v>46220</x:v>
      </x:c>
      <x:c r="C448" t="str">
        <x:v>Synthetic Yad2-like Listing</x:v>
      </x:c>
      <x:c r="D448" t="str">
        <x:v>https://example.com/listings/SYN-0447</x:v>
      </x:c>
      <x:c r="E448" t="str">
        <x:v>Second Hand</x:v>
      </x:c>
      <x:c r="F448" t="str"/>
      <x:c r="G448" t="str"/>
      <x:c r="H448" t="str">
        <x:v>Pinkas 77, Tel Aviv</x:v>
      </x:c>
      <x:c r="I448" t="str">
        <x:v>Tel Aviv</x:v>
      </x:c>
      <x:c r="J448" t="str">
        <x:v>Kikar HaMedina / New North</x:v>
      </x:c>
      <x:c r="K448" s="14" t="n">
        <x:v>0.52</x:v>
      </x:c>
      <x:c r="L448" t="str">
        <x:v>Apartment</x:v>
      </x:c>
      <x:c r="M448" t="n">
        <x:v>2</x:v>
      </x:c>
      <x:c r="N448" s="16" t="n">
        <x:v>57.3</x:v>
      </x:c>
      <x:c r="O448" t="n">
        <x:v>12</x:v>
      </x:c>
      <x:c r="P448" t="n">
        <x:v>16</x:v>
      </x:c>
      <x:c r="Q448" s="18" t="n">
        <x:v>4080000</x:v>
      </x:c>
      <x:c r="R448" s="18" t="n">
        <x:f>IFERROR(Q448/N448,"")</x:f>
        <x:v>71204.1884816754</x:v>
      </x:c>
      <x:c r="S448" t="n">
        <x:v>2000</x:v>
      </x:c>
      <x:c r="T448" t="n">
        <x:v>26</x:v>
      </x:c>
      <x:c r="U448" t="str">
        <x:v>Renovated</x:v>
      </x:c>
      <x:c r="V448" s="16" t="n">
        <x:v>11.4</x:v>
      </x:c>
      <x:c r="W448" t="str">
        <x:v>North</x:v>
      </x:c>
      <x:c r="X448" t="n">
        <x:v>0</x:v>
      </x:c>
      <x:c r="Y448" s="16" t="n">
        <x:v>0</x:v>
      </x:c>
      <x:c r="Z448" s="1" t="b">
        <x:v>1</x:v>
      </x:c>
      <x:c r="AA448" t="str">
        <x:v>North, North</x:v>
      </x:c>
      <x:c r="AB448" s="16" t="n">
        <x:v>0</x:v>
      </x:c>
      <x:c r="AC448" s="16" t="n">
        <x:v>0</x:v>
      </x:c>
      <x:c r="AD448" s="1" t="b">
        <x:v>0</x:v>
      </x:c>
    </x:row>
    <x:row r="449">
      <x:c r="A449" t="str">
        <x:v>SYN-0448</x:v>
      </x:c>
      <x:c r="B449" s="12" t="n">
        <x:v>46250</x:v>
      </x:c>
      <x:c r="C449" t="str">
        <x:v>Synthetic New-Project Listing</x:v>
      </x:c>
      <x:c r="D449" t="str">
        <x:v>https://example.com/listings/SYN-0448</x:v>
      </x:c>
      <x:c r="E449" t="str">
        <x:v>New Project</x:v>
      </x:c>
      <x:c r="F449" t="str">
        <x:v>North TLV Living</x:v>
      </x:c>
      <x:c r="G449" t="str">
        <x:v>Sample Development D</x:v>
      </x:c>
      <x:c r="H449" t="str">
        <x:v>Mosenzon 178, Tel Aviv</x:v>
      </x:c>
      <x:c r="I449" t="str">
        <x:v>Tel Aviv</x:v>
      </x:c>
      <x:c r="J449" t="str">
        <x:v>Kikar HaMedina / New North</x:v>
      </x:c>
      <x:c r="K449" s="14" t="n">
        <x:v>0.83</x:v>
      </x:c>
      <x:c r="L449" t="str">
        <x:v>Apartment</x:v>
      </x:c>
      <x:c r="M449" t="n">
        <x:v>2</x:v>
      </x:c>
      <x:c r="N449" s="16" t="n">
        <x:v>58.5</x:v>
      </x:c>
      <x:c r="O449" t="n">
        <x:v>6</x:v>
      </x:c>
      <x:c r="P449" t="n">
        <x:v>12</x:v>
      </x:c>
      <x:c r="Q449" s="18" t="n">
        <x:v>4910000</x:v>
      </x:c>
      <x:c r="R449" s="18" t="n">
        <x:f>IFERROR(Q449/N449,"")</x:f>
        <x:v>83931.62393162394</x:v>
      </x:c>
      <x:c r="S449" t="n">
        <x:v>2027</x:v>
      </x:c>
      <x:c r="T449" t="n">
        <x:v>0</x:v>
      </x:c>
      <x:c r="U449" t="str">
        <x:v>New</x:v>
      </x:c>
      <x:c r="V449" s="16" t="n">
        <x:v>11.2</x:v>
      </x:c>
      <x:c r="W449" t="str">
        <x:v>South-East</x:v>
      </x:c>
      <x:c r="X449" t="n">
        <x:v>1</x:v>
      </x:c>
      <x:c r="Y449" s="16" t="n">
        <x:v>8.5</x:v>
      </x:c>
      <x:c r="Z449" s="1" t="b">
        <x:v>1</x:v>
      </x:c>
      <x:c r="AA449" t="str">
        <x:v>South-East, North</x:v>
      </x:c>
      <x:c r="AB449" s="16" t="n">
        <x:v>0</x:v>
      </x:c>
      <x:c r="AC449" s="16" t="n">
        <x:v>0</x:v>
      </x:c>
      <x:c r="AD449" s="1" t="b">
        <x:v>0</x:v>
      </x:c>
    </x:row>
    <x:row r="450">
      <x:c r="A450" t="str">
        <x:v>SYN-0449</x:v>
      </x:c>
      <x:c r="B450" s="12" t="n">
        <x:v>46212</x:v>
      </x:c>
      <x:c r="C450" t="str">
        <x:v>Synthetic Yad2-like Listing</x:v>
      </x:c>
      <x:c r="D450" t="str">
        <x:v>https://example.com/listings/SYN-0449</x:v>
      </x:c>
      <x:c r="E450" t="str">
        <x:v>Second Hand</x:v>
      </x:c>
      <x:c r="F450" t="str"/>
      <x:c r="G450" t="str"/>
      <x:c r="H450" t="str">
        <x:v>Weizmann 68, Tel Aviv</x:v>
      </x:c>
      <x:c r="I450" t="str">
        <x:v>Tel Aviv</x:v>
      </x:c>
      <x:c r="J450" t="str">
        <x:v>Kikar HaMedina / New North</x:v>
      </x:c>
      <x:c r="K450" s="14" t="n">
        <x:v>0.28</x:v>
      </x:c>
      <x:c r="L450" t="str">
        <x:v>Apartment</x:v>
      </x:c>
      <x:c r="M450" t="n">
        <x:v>4</x:v>
      </x:c>
      <x:c r="N450" s="16" t="n">
        <x:v>94.5</x:v>
      </x:c>
      <x:c r="O450" t="n">
        <x:v>11</x:v>
      </x:c>
      <x:c r="P450" t="n">
        <x:v>17</x:v>
      </x:c>
      <x:c r="Q450" s="18" t="n">
        <x:v>5960000</x:v>
      </x:c>
      <x:c r="R450" s="18" t="n">
        <x:f>IFERROR(Q450/N450,"")</x:f>
        <x:v>63068.78306878307</x:v>
      </x:c>
      <x:c r="S450" t="n">
        <x:v>1991</x:v>
      </x:c>
      <x:c r="T450" t="n">
        <x:v>35</x:v>
      </x:c>
      <x:c r="U450" t="str">
        <x:v>Needs Renovation</x:v>
      </x:c>
      <x:c r="V450" s="16" t="n">
        <x:v>0</x:v>
      </x:c>
      <x:c r="W450" t="str"/>
      <x:c r="X450" t="n">
        <x:v>1</x:v>
      </x:c>
      <x:c r="Y450" s="16" t="n">
        <x:v>0</x:v>
      </x:c>
      <x:c r="Z450" s="1" t="b">
        <x:v>0</x:v>
      </x:c>
      <x:c r="AA450" t="str">
        <x:v>North-East</x:v>
      </x:c>
      <x:c r="AB450" s="16" t="n">
        <x:v>0</x:v>
      </x:c>
      <x:c r="AC450" s="16" t="n">
        <x:v>0</x:v>
      </x:c>
      <x:c r="AD450" s="1" t="b">
        <x:v>0</x:v>
      </x:c>
    </x:row>
    <x:row r="451">
      <x:c r="A451" t="str">
        <x:v>SYN-0450</x:v>
      </x:c>
      <x:c r="B451" s="12" t="n">
        <x:v>46256</x:v>
      </x:c>
      <x:c r="C451" t="str">
        <x:v>Synthetic Yad2-like Listing</x:v>
      </x:c>
      <x:c r="D451" t="str">
        <x:v>https://example.com/listings/SYN-0450</x:v>
      </x:c>
      <x:c r="E451" t="str">
        <x:v>Second Hand</x:v>
      </x:c>
      <x:c r="F451" t="str"/>
      <x:c r="G451" t="str"/>
      <x:c r="H451" t="str">
        <x:v>Epstein 4, Tel Aviv</x:v>
      </x:c>
      <x:c r="I451" t="str">
        <x:v>Tel Aviv</x:v>
      </x:c>
      <x:c r="J451" t="str">
        <x:v>Kikar HaMedina / New North</x:v>
      </x:c>
      <x:c r="K451" s="14" t="n">
        <x:v>0.73</x:v>
      </x:c>
      <x:c r="L451" t="str">
        <x:v>Apartment</x:v>
      </x:c>
      <x:c r="M451" t="n">
        <x:v>4</x:v>
      </x:c>
      <x:c r="N451" s="16" t="n">
        <x:v>99.6</x:v>
      </x:c>
      <x:c r="O451" t="n">
        <x:v>0</x:v>
      </x:c>
      <x:c r="P451" t="n">
        <x:v>7</x:v>
      </x:c>
      <x:c r="Q451" s="18" t="n">
        <x:v>5470000</x:v>
      </x:c>
      <x:c r="R451" s="18" t="n">
        <x:f>IFERROR(Q451/N451,"")</x:f>
        <x:v>54919.67871485944</x:v>
      </x:c>
      <x:c r="S451" t="n">
        <x:v>1973</x:v>
      </x:c>
      <x:c r="T451" t="n">
        <x:v>53</x:v>
      </x:c>
      <x:c r="U451" t="str">
        <x:v>Needs Renovation</x:v>
      </x:c>
      <x:c r="V451" s="16" t="n">
        <x:v>0</x:v>
      </x:c>
      <x:c r="W451" t="str"/>
      <x:c r="X451" t="n">
        <x:v>0</x:v>
      </x:c>
      <x:c r="Y451" s="16" t="n">
        <x:v>0</x:v>
      </x:c>
      <x:c r="Z451" s="1" t="b">
        <x:v>1</x:v>
      </x:c>
      <x:c r="AA451" t="str">
        <x:v>South-West</x:v>
      </x:c>
      <x:c r="AB451" s="16" t="n">
        <x:v>0</x:v>
      </x:c>
      <x:c r="AC451" s="16" t="n">
        <x:v>0</x:v>
      </x:c>
      <x:c r="AD451" s="1" t="b">
        <x:v>0</x:v>
      </x:c>
    </x:row>
    <x:row r="452">
      <x:c r="A452" t="str">
        <x:v>SYN-0451</x:v>
      </x:c>
      <x:c r="B452" s="12" t="n">
        <x:v>46210</x:v>
      </x:c>
      <x:c r="C452" t="str">
        <x:v>Synthetic Yad2-like Listing</x:v>
      </x:c>
      <x:c r="D452" t="str">
        <x:v>https://example.com/listings/SYN-0451</x:v>
      </x:c>
      <x:c r="E452" t="str">
        <x:v>Second Hand</x:v>
      </x:c>
      <x:c r="F452" t="str"/>
      <x:c r="G452" t="str"/>
      <x:c r="H452" t="str">
        <x:v>Biltmore 177, Tel Aviv</x:v>
      </x:c>
      <x:c r="I452" t="str">
        <x:v>Tel Aviv</x:v>
      </x:c>
      <x:c r="J452" t="str">
        <x:v>Kikar HaMedina / New North</x:v>
      </x:c>
      <x:c r="K452" s="14" t="n">
        <x:v>0.79</x:v>
      </x:c>
      <x:c r="L452" t="str">
        <x:v>Apartment</x:v>
      </x:c>
      <x:c r="M452" t="n">
        <x:v>4</x:v>
      </x:c>
      <x:c r="N452" s="16" t="n">
        <x:v>101</x:v>
      </x:c>
      <x:c r="O452" t="n">
        <x:v>7</x:v>
      </x:c>
      <x:c r="P452" t="n">
        <x:v>14</x:v>
      </x:c>
      <x:c r="Q452" s="18" t="n">
        <x:v>7770000</x:v>
      </x:c>
      <x:c r="R452" s="18" t="n">
        <x:f>IFERROR(Q452/N452,"")</x:f>
        <x:v>76930.69306930693</x:v>
      </x:c>
      <x:c r="S452" t="n">
        <x:v>1998</x:v>
      </x:c>
      <x:c r="T452" t="n">
        <x:v>28</x:v>
      </x:c>
      <x:c r="U452" t="str">
        <x:v>Renovated</x:v>
      </x:c>
      <x:c r="V452" s="16" t="n">
        <x:v>16.7</x:v>
      </x:c>
      <x:c r="W452" t="str">
        <x:v>North-West</x:v>
      </x:c>
      <x:c r="X452" t="n">
        <x:v>1</x:v>
      </x:c>
      <x:c r="Y452" s="16" t="n">
        <x:v>6</x:v>
      </x:c>
      <x:c r="Z452" s="1" t="b">
        <x:v>1</x:v>
      </x:c>
      <x:c r="AA452" t="str">
        <x:v>North-West</x:v>
      </x:c>
      <x:c r="AB452" s="16" t="n">
        <x:v>0</x:v>
      </x:c>
      <x:c r="AC452" s="16" t="n">
        <x:v>0</x:v>
      </x:c>
      <x:c r="AD452" s="1" t="b">
        <x:v>0</x:v>
      </x:c>
    </x:row>
    <x:row r="453">
      <x:c r="A453" t="str">
        <x:v>SYN-0452</x:v>
      </x:c>
      <x:c r="B453" s="12" t="n">
        <x:v>46226</x:v>
      </x:c>
      <x:c r="C453" t="str">
        <x:v>Synthetic Yad2-like Listing</x:v>
      </x:c>
      <x:c r="D453" t="str">
        <x:v>https://example.com/listings/SYN-0452</x:v>
      </x:c>
      <x:c r="E453" t="str">
        <x:v>Second Hand</x:v>
      </x:c>
      <x:c r="F453" t="str"/>
      <x:c r="G453" t="str"/>
      <x:c r="H453" t="str">
        <x:v>Jabotinsky 117, Tel Aviv</x:v>
      </x:c>
      <x:c r="I453" t="str">
        <x:v>Tel Aviv</x:v>
      </x:c>
      <x:c r="J453" t="str">
        <x:v>Kikar HaMedina / New North</x:v>
      </x:c>
      <x:c r="K453" s="14" t="n">
        <x:v>0.65</x:v>
      </x:c>
      <x:c r="L453" t="str">
        <x:v>Apartment</x:v>
      </x:c>
      <x:c r="M453" t="n">
        <x:v>5</x:v>
      </x:c>
      <x:c r="N453" s="16" t="n">
        <x:v>114.7</x:v>
      </x:c>
      <x:c r="O453" t="n">
        <x:v>10</x:v>
      </x:c>
      <x:c r="P453" t="n">
        <x:v>11</x:v>
      </x:c>
      <x:c r="Q453" s="18" t="n">
        <x:v>8690000</x:v>
      </x:c>
      <x:c r="R453" s="18" t="n">
        <x:f>IFERROR(Q453/N453,"")</x:f>
        <x:v>75762.85963382738</x:v>
      </x:c>
      <x:c r="S453" t="n">
        <x:v>2014</x:v>
      </x:c>
      <x:c r="T453" t="n">
        <x:v>12</x:v>
      </x:c>
      <x:c r="U453" t="str">
        <x:v>Good</x:v>
      </x:c>
      <x:c r="V453" s="16" t="n">
        <x:v>26</x:v>
      </x:c>
      <x:c r="W453" t="str">
        <x:v>South</x:v>
      </x:c>
      <x:c r="X453" t="n">
        <x:v>1</x:v>
      </x:c>
      <x:c r="Y453" s="16" t="n">
        <x:v>0</x:v>
      </x:c>
      <x:c r="Z453" s="1" t="b">
        <x:v>1</x:v>
      </x:c>
      <x:c r="AA453" t="str">
        <x:v>South, East</x:v>
      </x:c>
      <x:c r="AB453" s="16" t="n">
        <x:v>0</x:v>
      </x:c>
      <x:c r="AC453" s="16" t="n">
        <x:v>0</x:v>
      </x:c>
      <x:c r="AD453" s="1" t="b">
        <x:v>1</x:v>
      </x:c>
    </x:row>
    <x:row r="454">
      <x:c r="A454" t="str">
        <x:v>SYN-0453</x:v>
      </x:c>
      <x:c r="B454" s="12" t="n">
        <x:v>46214</x:v>
      </x:c>
      <x:c r="C454" t="str">
        <x:v>Synthetic Yad2-like Listing</x:v>
      </x:c>
      <x:c r="D454" t="str">
        <x:v>https://example.com/listings/SYN-0453</x:v>
      </x:c>
      <x:c r="E454" t="str">
        <x:v>Second Hand</x:v>
      </x:c>
      <x:c r="F454" t="str"/>
      <x:c r="G454" t="str"/>
      <x:c r="H454" t="str">
        <x:v>Biltmore 96, Tel Aviv</x:v>
      </x:c>
      <x:c r="I454" t="str">
        <x:v>Tel Aviv</x:v>
      </x:c>
      <x:c r="J454" t="str">
        <x:v>Kikar HaMedina / New North</x:v>
      </x:c>
      <x:c r="K454" s="14" t="n">
        <x:v>0.92</x:v>
      </x:c>
      <x:c r="L454" t="str">
        <x:v>Duplex</x:v>
      </x:c>
      <x:c r="M454" t="n">
        <x:v>5</x:v>
      </x:c>
      <x:c r="N454" s="16" t="n">
        <x:v>122.7</x:v>
      </x:c>
      <x:c r="O454" t="n">
        <x:v>10</x:v>
      </x:c>
      <x:c r="P454" t="n">
        <x:v>17</x:v>
      </x:c>
      <x:c r="Q454" s="18" t="n">
        <x:v>9370000</x:v>
      </x:c>
      <x:c r="R454" s="18" t="n">
        <x:f>IFERROR(Q454/N454,"")</x:f>
        <x:v>76365.11817440913</x:v>
      </x:c>
      <x:c r="S454" t="n">
        <x:v>2003</x:v>
      </x:c>
      <x:c r="T454" t="n">
        <x:v>23</x:v>
      </x:c>
      <x:c r="U454" t="str">
        <x:v>Renovated</x:v>
      </x:c>
      <x:c r="V454" s="16" t="n">
        <x:v>13.4</x:v>
      </x:c>
      <x:c r="W454" t="str">
        <x:v>North-East</x:v>
      </x:c>
      <x:c r="X454" t="n">
        <x:v>1</x:v>
      </x:c>
      <x:c r="Y454" s="16" t="n">
        <x:v>9.3</x:v>
      </x:c>
      <x:c r="Z454" s="1" t="b">
        <x:v>0</x:v>
      </x:c>
      <x:c r="AA454" t="str">
        <x:v>North-East</x:v>
      </x:c>
      <x:c r="AB454" s="16" t="n">
        <x:v>0</x:v>
      </x:c>
      <x:c r="AC454" s="16" t="n">
        <x:v>0</x:v>
      </x:c>
      <x:c r="AD454" s="1" t="b">
        <x:v>0</x:v>
      </x:c>
    </x:row>
    <x:row r="455">
      <x:c r="A455" t="str">
        <x:v>SYN-0454</x:v>
      </x:c>
      <x:c r="B455" s="12" t="n">
        <x:v>46240</x:v>
      </x:c>
      <x:c r="C455" t="str">
        <x:v>Synthetic Yad2-like Listing</x:v>
      </x:c>
      <x:c r="D455" t="str">
        <x:v>https://example.com/listings/SYN-0454</x:v>
      </x:c>
      <x:c r="E455" t="str">
        <x:v>Second Hand</x:v>
      </x:c>
      <x:c r="F455" t="str"/>
      <x:c r="G455" t="str"/>
      <x:c r="H455" t="str">
        <x:v>Pinkas 112, Tel Aviv</x:v>
      </x:c>
      <x:c r="I455" t="str">
        <x:v>Tel Aviv</x:v>
      </x:c>
      <x:c r="J455" t="str">
        <x:v>Kikar HaMedina / New North</x:v>
      </x:c>
      <x:c r="K455" s="14" t="n">
        <x:v>0.45</x:v>
      </x:c>
      <x:c r="L455" t="str">
        <x:v>Apartment</x:v>
      </x:c>
      <x:c r="M455" t="n">
        <x:v>5</x:v>
      </x:c>
      <x:c r="N455" s="16" t="n">
        <x:v>118.3</x:v>
      </x:c>
      <x:c r="O455" t="n">
        <x:v>6</x:v>
      </x:c>
      <x:c r="P455" t="n">
        <x:v>10</x:v>
      </x:c>
      <x:c r="Q455" s="18" t="n">
        <x:v>8520000</x:v>
      </x:c>
      <x:c r="R455" s="18" t="n">
        <x:f>IFERROR(Q455/N455,"")</x:f>
        <x:v>72020.28740490279</x:v>
      </x:c>
      <x:c r="S455" t="n">
        <x:v>2017</x:v>
      </x:c>
      <x:c r="T455" t="n">
        <x:v>9</x:v>
      </x:c>
      <x:c r="U455" t="str">
        <x:v>Renovated</x:v>
      </x:c>
      <x:c r="V455" s="16" t="n">
        <x:v>9.2</x:v>
      </x:c>
      <x:c r="W455" t="str">
        <x:v>South-East</x:v>
      </x:c>
      <x:c r="X455" t="n">
        <x:v>1</x:v>
      </x:c>
      <x:c r="Y455" s="16" t="n">
        <x:v>0</x:v>
      </x:c>
      <x:c r="Z455" s="1" t="b">
        <x:v>1</x:v>
      </x:c>
      <x:c r="AA455" t="str">
        <x:v>South-East, West</x:v>
      </x:c>
      <x:c r="AB455" s="16" t="n">
        <x:v>0</x:v>
      </x:c>
      <x:c r="AC455" s="16" t="n">
        <x:v>0</x:v>
      </x:c>
      <x:c r="AD455" s="1" t="b">
        <x:v>0</x:v>
      </x:c>
    </x:row>
    <x:row r="456">
      <x:c r="A456" t="str">
        <x:v>SYN-0455</x:v>
      </x:c>
      <x:c r="B456" s="12" t="n">
        <x:v>46244</x:v>
      </x:c>
      <x:c r="C456" t="str">
        <x:v>Synthetic Yad2-like Listing</x:v>
      </x:c>
      <x:c r="D456" t="str">
        <x:v>https://example.com/listings/SYN-0455</x:v>
      </x:c>
      <x:c r="E456" t="str">
        <x:v>Second Hand</x:v>
      </x:c>
      <x:c r="F456" t="str"/>
      <x:c r="G456" t="str"/>
      <x:c r="H456" t="str">
        <x:v>Epstein 21, Tel Aviv</x:v>
      </x:c>
      <x:c r="I456" t="str">
        <x:v>Tel Aviv</x:v>
      </x:c>
      <x:c r="J456" t="str">
        <x:v>Kikar HaMedina / New North</x:v>
      </x:c>
      <x:c r="K456" s="14" t="n">
        <x:v>0.8</x:v>
      </x:c>
      <x:c r="L456" t="str">
        <x:v>Apartment</x:v>
      </x:c>
      <x:c r="M456" t="n">
        <x:v>5</x:v>
      </x:c>
      <x:c r="N456" s="16" t="n">
        <x:v>128.3</x:v>
      </x:c>
      <x:c r="O456" t="n">
        <x:v>4</x:v>
      </x:c>
      <x:c r="P456" t="n">
        <x:v>18</x:v>
      </x:c>
      <x:c r="Q456" s="18" t="n">
        <x:v>9230000</x:v>
      </x:c>
      <x:c r="R456" s="18" t="n">
        <x:f>IFERROR(Q456/N456,"")</x:f>
        <x:v>71940.76383476227</x:v>
      </x:c>
      <x:c r="S456" t="n">
        <x:v>1997</x:v>
      </x:c>
      <x:c r="T456" t="n">
        <x:v>29</x:v>
      </x:c>
      <x:c r="U456" t="str">
        <x:v>Renovated</x:v>
      </x:c>
      <x:c r="V456" s="16" t="n">
        <x:v>0</x:v>
      </x:c>
      <x:c r="W456" t="str"/>
      <x:c r="X456" t="n">
        <x:v>2</x:v>
      </x:c>
      <x:c r="Y456" s="16" t="n">
        <x:v>0</x:v>
      </x:c>
      <x:c r="Z456" s="1" t="b">
        <x:v>1</x:v>
      </x:c>
      <x:c r="AA456" t="str">
        <x:v>East</x:v>
      </x:c>
      <x:c r="AB456" s="16" t="n">
        <x:v>0</x:v>
      </x:c>
      <x:c r="AC456" s="16" t="n">
        <x:v>0</x:v>
      </x:c>
      <x:c r="AD456" s="1" t="b">
        <x:v>0</x:v>
      </x:c>
    </x:row>
    <x:row r="457">
      <x:c r="A457" t="str">
        <x:v>SYN-0456</x:v>
      </x:c>
      <x:c r="B457" s="12" t="n">
        <x:v>46210</x:v>
      </x:c>
      <x:c r="C457" t="str">
        <x:v>Synthetic Yad2-like Listing</x:v>
      </x:c>
      <x:c r="D457" t="str">
        <x:v>https://example.com/listings/SYN-0456</x:v>
      </x:c>
      <x:c r="E457" t="str">
        <x:v>Second Hand</x:v>
      </x:c>
      <x:c r="F457" t="str"/>
      <x:c r="G457" t="str"/>
      <x:c r="H457" t="str">
        <x:v>Bavli 22, Tel Aviv</x:v>
      </x:c>
      <x:c r="I457" t="str">
        <x:v>Tel Aviv</x:v>
      </x:c>
      <x:c r="J457" t="str">
        <x:v>Kikar HaMedina / New North</x:v>
      </x:c>
      <x:c r="K457" s="14" t="n">
        <x:v>0.58</x:v>
      </x:c>
      <x:c r="L457" t="str">
        <x:v>Apartment</x:v>
      </x:c>
      <x:c r="M457" t="n">
        <x:v>3</x:v>
      </x:c>
      <x:c r="N457" s="16" t="n">
        <x:v>70.5</x:v>
      </x:c>
      <x:c r="O457" t="n">
        <x:v>3</x:v>
      </x:c>
      <x:c r="P457" t="n">
        <x:v>8</x:v>
      </x:c>
      <x:c r="Q457" s="18" t="n">
        <x:v>4320000</x:v>
      </x:c>
      <x:c r="R457" s="18" t="n">
        <x:f>IFERROR(Q457/N457,"")</x:f>
        <x:v>61276.59574468085</x:v>
      </x:c>
      <x:c r="S457" t="n">
        <x:v>1976</x:v>
      </x:c>
      <x:c r="T457" t="n">
        <x:v>50</x:v>
      </x:c>
      <x:c r="U457" t="str">
        <x:v>Good</x:v>
      </x:c>
      <x:c r="V457" s="16" t="n">
        <x:v>0</x:v>
      </x:c>
      <x:c r="W457" t="str"/>
      <x:c r="X457" t="n">
        <x:v>0</x:v>
      </x:c>
      <x:c r="Y457" s="16" t="n">
        <x:v>0</x:v>
      </x:c>
      <x:c r="Z457" s="1" t="b">
        <x:v>1</x:v>
      </x:c>
      <x:c r="AA457" t="str">
        <x:v>North-East</x:v>
      </x:c>
      <x:c r="AB457" s="16" t="n">
        <x:v>0</x:v>
      </x:c>
      <x:c r="AC457" s="16" t="n">
        <x:v>0</x:v>
      </x:c>
      <x:c r="AD457" s="1" t="b">
        <x:v>0</x:v>
      </x:c>
    </x:row>
    <x:row r="458">
      <x:c r="A458" t="str">
        <x:v>SYN-0457</x:v>
      </x:c>
      <x:c r="B458" s="12" t="n">
        <x:v>46223</x:v>
      </x:c>
      <x:c r="C458" t="str">
        <x:v>Synthetic New-Project Listing</x:v>
      </x:c>
      <x:c r="D458" t="str">
        <x:v>https://example.com/listings/SYN-0457</x:v>
      </x:c>
      <x:c r="E458" t="str">
        <x:v>New Project</x:v>
      </x:c>
      <x:c r="F458" t="str">
        <x:v>Kikar Residence</x:v>
      </x:c>
      <x:c r="G458" t="str">
        <x:v>Sample Development A</x:v>
      </x:c>
      <x:c r="H458" t="str">
        <x:v>Lissin 176, Tel Aviv</x:v>
      </x:c>
      <x:c r="I458" t="str">
        <x:v>Tel Aviv</x:v>
      </x:c>
      <x:c r="J458" t="str">
        <x:v>Kikar HaMedina / New North</x:v>
      </x:c>
      <x:c r="K458" s="14" t="n">
        <x:v>0.68</x:v>
      </x:c>
      <x:c r="L458" t="str">
        <x:v>Apartment</x:v>
      </x:c>
      <x:c r="M458" t="n">
        <x:v>5</x:v>
      </x:c>
      <x:c r="N458" s="16" t="n">
        <x:v>115.2</x:v>
      </x:c>
      <x:c r="O458" t="n">
        <x:v>2</x:v>
      </x:c>
      <x:c r="P458" t="n">
        <x:v>8</x:v>
      </x:c>
      <x:c r="Q458" s="18" t="n">
        <x:v>9020000</x:v>
      </x:c>
      <x:c r="R458" s="18" t="n">
        <x:f>IFERROR(Q458/N458,"")</x:f>
        <x:v>78298.61111111111</x:v>
      </x:c>
      <x:c r="S458" t="n">
        <x:v>2026</x:v>
      </x:c>
      <x:c r="T458" t="n">
        <x:v>0</x:v>
      </x:c>
      <x:c r="U458" t="str">
        <x:v>New</x:v>
      </x:c>
      <x:c r="V458" s="16" t="n">
        <x:v>9.9</x:v>
      </x:c>
      <x:c r="W458" t="str">
        <x:v>North-West</x:v>
      </x:c>
      <x:c r="X458" t="n">
        <x:v>2</x:v>
      </x:c>
      <x:c r="Y458" s="16" t="n">
        <x:v>8.6</x:v>
      </x:c>
      <x:c r="Z458" s="1" t="b">
        <x:v>1</x:v>
      </x:c>
      <x:c r="AA458" t="str">
        <x:v>North-West</x:v>
      </x:c>
      <x:c r="AB458" s="16" t="n">
        <x:v>0</x:v>
      </x:c>
      <x:c r="AC458" s="16" t="n">
        <x:v>0</x:v>
      </x:c>
      <x:c r="AD458" s="1" t="b">
        <x:v>0</x:v>
      </x:c>
    </x:row>
    <x:row r="459">
      <x:c r="A459" t="str">
        <x:v>SYN-0458</x:v>
      </x:c>
      <x:c r="B459" s="12" t="n">
        <x:v>46217</x:v>
      </x:c>
      <x:c r="C459" t="str">
        <x:v>Synthetic New-Project Listing</x:v>
      </x:c>
      <x:c r="D459" t="str">
        <x:v>https://example.com/listings/SYN-0458</x:v>
      </x:c>
      <x:c r="E459" t="str">
        <x:v>New Project</x:v>
      </x:c>
      <x:c r="F459" t="str">
        <x:v>Weizmann Urban</x:v>
      </x:c>
      <x:c r="G459" t="str">
        <x:v>Sample Development B</x:v>
      </x:c>
      <x:c r="H459" t="str">
        <x:v>Epstein 8, Tel Aviv</x:v>
      </x:c>
      <x:c r="I459" t="str">
        <x:v>Tel Aviv</x:v>
      </x:c>
      <x:c r="J459" t="str">
        <x:v>Kikar HaMedina / New North</x:v>
      </x:c>
      <x:c r="K459" s="14" t="n">
        <x:v>0.84</x:v>
      </x:c>
      <x:c r="L459" t="str">
        <x:v>Penthouse</x:v>
      </x:c>
      <x:c r="M459" t="n">
        <x:v>2</x:v>
      </x:c>
      <x:c r="N459" s="16" t="n">
        <x:v>53.9</x:v>
      </x:c>
      <x:c r="O459" t="n">
        <x:v>9</x:v>
      </x:c>
      <x:c r="P459" t="n">
        <x:v>10</x:v>
      </x:c>
      <x:c r="Q459" s="18" t="n">
        <x:v>5920000</x:v>
      </x:c>
      <x:c r="R459" s="18" t="n">
        <x:f>IFERROR(Q459/N459,"")</x:f>
        <x:v>109833.02411873841</x:v>
      </x:c>
      <x:c r="S459" t="n">
        <x:v>2025</x:v>
      </x:c>
      <x:c r="T459" t="n">
        <x:v>1</x:v>
      </x:c>
      <x:c r="U459" t="str">
        <x:v>New</x:v>
      </x:c>
      <x:c r="V459" s="16" t="n">
        <x:v>59.8</x:v>
      </x:c>
      <x:c r="W459" t="str">
        <x:v>North</x:v>
      </x:c>
      <x:c r="X459" t="n">
        <x:v>1</x:v>
      </x:c>
      <x:c r="Y459" s="16" t="n">
        <x:v>0</x:v>
      </x:c>
      <x:c r="Z459" s="1" t="b">
        <x:v>1</x:v>
      </x:c>
      <x:c r="AA459" t="str">
        <x:v>North, West</x:v>
      </x:c>
      <x:c r="AB459" s="16" t="n">
        <x:v>0</x:v>
      </x:c>
      <x:c r="AC459" s="16" t="n">
        <x:v>27</x:v>
      </x:c>
      <x:c r="AD459" s="1" t="b">
        <x:v>1</x:v>
      </x:c>
    </x:row>
    <x:row r="460">
      <x:c r="A460" t="str">
        <x:v>SYN-0459</x:v>
      </x:c>
      <x:c r="B460" s="12" t="n">
        <x:v>46210</x:v>
      </x:c>
      <x:c r="C460" t="str">
        <x:v>Synthetic New-Project Listing</x:v>
      </x:c>
      <x:c r="D460" t="str">
        <x:v>https://example.com/listings/SYN-0459</x:v>
      </x:c>
      <x:c r="E460" t="str">
        <x:v>New Project</x:v>
      </x:c>
      <x:c r="F460" t="str">
        <x:v>North TLV Living</x:v>
      </x:c>
      <x:c r="G460" t="str">
        <x:v>Sample Development D</x:v>
      </x:c>
      <x:c r="H460" t="str">
        <x:v>Biltmore 50, Tel Aviv</x:v>
      </x:c>
      <x:c r="I460" t="str">
        <x:v>Tel Aviv</x:v>
      </x:c>
      <x:c r="J460" t="str">
        <x:v>Kikar HaMedina / New North</x:v>
      </x:c>
      <x:c r="K460" s="14" t="n">
        <x:v>0.82</x:v>
      </x:c>
      <x:c r="L460" t="str">
        <x:v>Apartment</x:v>
      </x:c>
      <x:c r="M460" t="n">
        <x:v>2</x:v>
      </x:c>
      <x:c r="N460" s="16" t="n">
        <x:v>47.2</x:v>
      </x:c>
      <x:c r="O460" t="n">
        <x:v>11</x:v>
      </x:c>
      <x:c r="P460" t="n">
        <x:v>13</x:v>
      </x:c>
      <x:c r="Q460" s="18" t="n">
        <x:v>3940000</x:v>
      </x:c>
      <x:c r="R460" s="18" t="n">
        <x:f>IFERROR(Q460/N460,"")</x:f>
        <x:v>83474.57627118644</x:v>
      </x:c>
      <x:c r="S460" t="n">
        <x:v>2027</x:v>
      </x:c>
      <x:c r="T460" t="n">
        <x:v>0</x:v>
      </x:c>
      <x:c r="U460" t="str">
        <x:v>New</x:v>
      </x:c>
      <x:c r="V460" s="16" t="n">
        <x:v>0</x:v>
      </x:c>
      <x:c r="W460" t="str"/>
      <x:c r="X460" t="n">
        <x:v>1</x:v>
      </x:c>
      <x:c r="Y460" s="16" t="n">
        <x:v>5.1</x:v>
      </x:c>
      <x:c r="Z460" s="1" t="b">
        <x:v>1</x:v>
      </x:c>
      <x:c r="AA460" t="str">
        <x:v>South-West</x:v>
      </x:c>
      <x:c r="AB460" s="16" t="n">
        <x:v>0</x:v>
      </x:c>
      <x:c r="AC460" s="16" t="n">
        <x:v>0</x:v>
      </x:c>
      <x:c r="AD460" s="1" t="b">
        <x:v>0</x:v>
      </x:c>
    </x:row>
    <x:row r="461">
      <x:c r="A461" t="str">
        <x:v>SYN-0460</x:v>
      </x:c>
      <x:c r="B461" s="12" t="n">
        <x:v>46232</x:v>
      </x:c>
      <x:c r="C461" t="str">
        <x:v>Synthetic Yad2-like Listing</x:v>
      </x:c>
      <x:c r="D461" t="str">
        <x:v>https://example.com/listings/SYN-0460</x:v>
      </x:c>
      <x:c r="E461" t="str">
        <x:v>Second Hand</x:v>
      </x:c>
      <x:c r="F461" t="str"/>
      <x:c r="G461" t="str"/>
      <x:c r="H461" t="str">
        <x:v>Biltmore 110, Tel Aviv</x:v>
      </x:c>
      <x:c r="I461" t="str">
        <x:v>Tel Aviv</x:v>
      </x:c>
      <x:c r="J461" t="str">
        <x:v>Kikar HaMedina / New North</x:v>
      </x:c>
      <x:c r="K461" s="14" t="n">
        <x:v>0.89</x:v>
      </x:c>
      <x:c r="L461" t="str">
        <x:v>Apartment</x:v>
      </x:c>
      <x:c r="M461" t="n">
        <x:v>4</x:v>
      </x:c>
      <x:c r="N461" s="16" t="n">
        <x:v>94.2</x:v>
      </x:c>
      <x:c r="O461" t="n">
        <x:v>12</x:v>
      </x:c>
      <x:c r="P461" t="n">
        <x:v>14</x:v>
      </x:c>
      <x:c r="Q461" s="18" t="n">
        <x:v>6780000</x:v>
      </x:c>
      <x:c r="R461" s="18" t="n">
        <x:f>IFERROR(Q461/N461,"")</x:f>
        <x:v>71974.52229299363</x:v>
      </x:c>
      <x:c r="S461" t="n">
        <x:v>1999</x:v>
      </x:c>
      <x:c r="T461" t="n">
        <x:v>27</x:v>
      </x:c>
      <x:c r="U461" t="str">
        <x:v>Renovated</x:v>
      </x:c>
      <x:c r="V461" s="16" t="n">
        <x:v>0</x:v>
      </x:c>
      <x:c r="W461" t="str"/>
      <x:c r="X461" t="n">
        <x:v>1</x:v>
      </x:c>
      <x:c r="Y461" s="16" t="n">
        <x:v>0</x:v>
      </x:c>
      <x:c r="Z461" s="1" t="b">
        <x:v>1</x:v>
      </x:c>
      <x:c r="AA461" t="str">
        <x:v>South-West</x:v>
      </x:c>
      <x:c r="AB461" s="16" t="n">
        <x:v>0</x:v>
      </x:c>
      <x:c r="AC461" s="16" t="n">
        <x:v>0</x:v>
      </x:c>
      <x:c r="AD461" s="1" t="b">
        <x:v>0</x:v>
      </x:c>
    </x:row>
    <x:row r="462">
      <x:c r="A462" t="str">
        <x:v>SYN-0461</x:v>
      </x:c>
      <x:c r="B462" s="12" t="n">
        <x:v>46225</x:v>
      </x:c>
      <x:c r="C462" t="str">
        <x:v>Synthetic New-Project Listing</x:v>
      </x:c>
      <x:c r="D462" t="str">
        <x:v>https://example.com/listings/SYN-0461</x:v>
      </x:c>
      <x:c r="E462" t="str">
        <x:v>New Project</x:v>
      </x:c>
      <x:c r="F462" t="str">
        <x:v>Weizmann Urban</x:v>
      </x:c>
      <x:c r="G462" t="str">
        <x:v>Sample Development B</x:v>
      </x:c>
      <x:c r="H462" t="str">
        <x:v>Mosenzon 96, Tel Aviv</x:v>
      </x:c>
      <x:c r="I462" t="str">
        <x:v>Tel Aviv</x:v>
      </x:c>
      <x:c r="J462" t="str">
        <x:v>Kikar HaMedina / New North</x:v>
      </x:c>
      <x:c r="K462" s="14" t="n">
        <x:v>0.8</x:v>
      </x:c>
      <x:c r="L462" t="str">
        <x:v>Apartment</x:v>
      </x:c>
      <x:c r="M462" t="n">
        <x:v>2</x:v>
      </x:c>
      <x:c r="N462" s="16" t="n">
        <x:v>53.2</x:v>
      </x:c>
      <x:c r="O462" t="n">
        <x:v>9</x:v>
      </x:c>
      <x:c r="P462" t="n">
        <x:v>16</x:v>
      </x:c>
      <x:c r="Q462" s="18" t="n">
        <x:v>4490000</x:v>
      </x:c>
      <x:c r="R462" s="18" t="n">
        <x:f>IFERROR(Q462/N462,"")</x:f>
        <x:v>84398.4962406015</x:v>
      </x:c>
      <x:c r="S462" t="n">
        <x:v>2026</x:v>
      </x:c>
      <x:c r="T462" t="n">
        <x:v>0</x:v>
      </x:c>
      <x:c r="U462" t="str">
        <x:v>New</x:v>
      </x:c>
      <x:c r="V462" s="16" t="n">
        <x:v>18.3</x:v>
      </x:c>
      <x:c r="W462" t="str">
        <x:v>North-West</x:v>
      </x:c>
      <x:c r="X462" t="n">
        <x:v>1</x:v>
      </x:c>
      <x:c r="Y462" s="16" t="n">
        <x:v>8.7</x:v>
      </x:c>
      <x:c r="Z462" s="1" t="b">
        <x:v>1</x:v>
      </x:c>
      <x:c r="AA462" t="str">
        <x:v>North-West, East</x:v>
      </x:c>
      <x:c r="AB462" s="16" t="n">
        <x:v>0</x:v>
      </x:c>
      <x:c r="AC462" s="16" t="n">
        <x:v>0</x:v>
      </x:c>
      <x:c r="AD462" s="1" t="b">
        <x:v>0</x:v>
      </x:c>
    </x:row>
    <x:row r="463">
      <x:c r="A463" t="str">
        <x:v>SYN-0462</x:v>
      </x:c>
      <x:c r="B463" s="12" t="n">
        <x:v>46255</x:v>
      </x:c>
      <x:c r="C463" t="str">
        <x:v>Synthetic New-Project Listing</x:v>
      </x:c>
      <x:c r="D463" t="str">
        <x:v>https://example.com/listings/SYN-0462</x:v>
      </x:c>
      <x:c r="E463" t="str">
        <x:v>New Project</x:v>
      </x:c>
      <x:c r="F463" t="str">
        <x:v>Kikar Residence</x:v>
      </x:c>
      <x:c r="G463" t="str">
        <x:v>Sample Development A</x:v>
      </x:c>
      <x:c r="H463" t="str">
        <x:v>Epstein 166, Tel Aviv</x:v>
      </x:c>
      <x:c r="I463" t="str">
        <x:v>Tel Aviv</x:v>
      </x:c>
      <x:c r="J463" t="str">
        <x:v>Kikar HaMedina / New North</x:v>
      </x:c>
      <x:c r="K463" s="14" t="n">
        <x:v>0.91</x:v>
      </x:c>
      <x:c r="L463" t="str">
        <x:v>Apartment</x:v>
      </x:c>
      <x:c r="M463" t="n">
        <x:v>4</x:v>
      </x:c>
      <x:c r="N463" s="16" t="n">
        <x:v>94.4</x:v>
      </x:c>
      <x:c r="O463" t="n">
        <x:v>3</x:v>
      </x:c>
      <x:c r="P463" t="n">
        <x:v>12</x:v>
      </x:c>
      <x:c r="Q463" s="18" t="n">
        <x:v>7260000</x:v>
      </x:c>
      <x:c r="R463" s="18" t="n">
        <x:f>IFERROR(Q463/N463,"")</x:f>
        <x:v>76906.77966101695</x:v>
      </x:c>
      <x:c r="S463" t="n">
        <x:v>2027</x:v>
      </x:c>
      <x:c r="T463" t="n">
        <x:v>0</x:v>
      </x:c>
      <x:c r="U463" t="str">
        <x:v>New</x:v>
      </x:c>
      <x:c r="V463" s="16" t="n">
        <x:v>11.4</x:v>
      </x:c>
      <x:c r="W463" t="str">
        <x:v>West</x:v>
      </x:c>
      <x:c r="X463" t="n">
        <x:v>1</x:v>
      </x:c>
      <x:c r="Y463" s="16" t="n">
        <x:v>7.3</x:v>
      </x:c>
      <x:c r="Z463" s="1" t="b">
        <x:v>1</x:v>
      </x:c>
      <x:c r="AA463" t="str">
        <x:v>West</x:v>
      </x:c>
      <x:c r="AB463" s="16" t="n">
        <x:v>0</x:v>
      </x:c>
      <x:c r="AC463" s="16" t="n">
        <x:v>0</x:v>
      </x:c>
      <x:c r="AD463" s="1" t="b">
        <x:v>0</x:v>
      </x:c>
    </x:row>
    <x:row r="464">
      <x:c r="A464" t="str">
        <x:v>SYN-0463</x:v>
      </x:c>
      <x:c r="B464" s="12" t="n">
        <x:v>46208</x:v>
      </x:c>
      <x:c r="C464" t="str">
        <x:v>Synthetic Yad2-like Listing</x:v>
      </x:c>
      <x:c r="D464" t="str">
        <x:v>https://example.com/listings/SYN-0463</x:v>
      </x:c>
      <x:c r="E464" t="str">
        <x:v>Second Hand</x:v>
      </x:c>
      <x:c r="F464" t="str"/>
      <x:c r="G464" t="str"/>
      <x:c r="H464" t="str">
        <x:v>Bavli 10, Tel Aviv</x:v>
      </x:c>
      <x:c r="I464" t="str">
        <x:v>Tel Aviv</x:v>
      </x:c>
      <x:c r="J464" t="str">
        <x:v>Kikar HaMedina / New North</x:v>
      </x:c>
      <x:c r="K464" s="14" t="n">
        <x:v>0.89</x:v>
      </x:c>
      <x:c r="L464" t="str">
        <x:v>Apartment</x:v>
      </x:c>
      <x:c r="M464" t="n">
        <x:v>2</x:v>
      </x:c>
      <x:c r="N464" s="16" t="n">
        <x:v>49.8</x:v>
      </x:c>
      <x:c r="O464" t="n">
        <x:v>1</x:v>
      </x:c>
      <x:c r="P464" t="n">
        <x:v>5</x:v>
      </x:c>
      <x:c r="Q464" s="18" t="n">
        <x:v>3630000</x:v>
      </x:c>
      <x:c r="R464" s="18" t="n">
        <x:f>IFERROR(Q464/N464,"")</x:f>
        <x:v>72891.56626506025</x:v>
      </x:c>
      <x:c r="S464" t="n">
        <x:v>1960</x:v>
      </x:c>
      <x:c r="T464" t="n">
        <x:v>66</x:v>
      </x:c>
      <x:c r="U464" t="str">
        <x:v>Needs Renovation</x:v>
      </x:c>
      <x:c r="V464" s="16" t="n">
        <x:v>17.5</x:v>
      </x:c>
      <x:c r="W464" t="str">
        <x:v>West</x:v>
      </x:c>
      <x:c r="X464" t="n">
        <x:v>1</x:v>
      </x:c>
      <x:c r="Y464" s="16" t="n">
        <x:v>7.5</x:v>
      </x:c>
      <x:c r="Z464" s="1" t="b">
        <x:v>1</x:v>
      </x:c>
      <x:c r="AA464" t="str">
        <x:v>West, East</x:v>
      </x:c>
      <x:c r="AB464" s="16" t="n">
        <x:v>0</x:v>
      </x:c>
      <x:c r="AC464" s="16" t="n">
        <x:v>0</x:v>
      </x:c>
      <x:c r="AD464" s="1" t="b">
        <x:v>0</x:v>
      </x:c>
    </x:row>
    <x:row r="465">
      <x:c r="A465" t="str">
        <x:v>SYN-0464</x:v>
      </x:c>
      <x:c r="B465" s="12" t="n">
        <x:v>46212</x:v>
      </x:c>
      <x:c r="C465" t="str">
        <x:v>Synthetic Yad2-like Listing</x:v>
      </x:c>
      <x:c r="D465" t="str">
        <x:v>https://example.com/listings/SYN-0464</x:v>
      </x:c>
      <x:c r="E465" t="str">
        <x:v>Second Hand</x:v>
      </x:c>
      <x:c r="F465" t="str"/>
      <x:c r="G465" t="str"/>
      <x:c r="H465" t="str">
        <x:v>Weizmann 96, Tel Aviv</x:v>
      </x:c>
      <x:c r="I465" t="str">
        <x:v>Tel Aviv</x:v>
      </x:c>
      <x:c r="J465" t="str">
        <x:v>Kikar HaMedina / New North</x:v>
      </x:c>
      <x:c r="K465" s="14" t="n">
        <x:v>0.4</x:v>
      </x:c>
      <x:c r="L465" t="str">
        <x:v>Apartment</x:v>
      </x:c>
      <x:c r="M465" t="n">
        <x:v>5</x:v>
      </x:c>
      <x:c r="N465" s="16" t="n">
        <x:v>122.8</x:v>
      </x:c>
      <x:c r="O465" t="n">
        <x:v>4</x:v>
      </x:c>
      <x:c r="P465" t="n">
        <x:v>9</x:v>
      </x:c>
      <x:c r="Q465" s="18" t="n">
        <x:v>8290000</x:v>
      </x:c>
      <x:c r="R465" s="18" t="n">
        <x:f>IFERROR(Q465/N465,"")</x:f>
        <x:v>67508.14332247557</x:v>
      </x:c>
      <x:c r="S465" t="n">
        <x:v>2001</x:v>
      </x:c>
      <x:c r="T465" t="n">
        <x:v>25</x:v>
      </x:c>
      <x:c r="U465" t="str">
        <x:v>Needs Renovation</x:v>
      </x:c>
      <x:c r="V465" s="16" t="n">
        <x:v>9.9</x:v>
      </x:c>
      <x:c r="W465" t="str">
        <x:v>North-West</x:v>
      </x:c>
      <x:c r="X465" t="n">
        <x:v>2</x:v>
      </x:c>
      <x:c r="Y465" s="16" t="n">
        <x:v>9.9</x:v>
      </x:c>
      <x:c r="Z465" s="1" t="b">
        <x:v>1</x:v>
      </x:c>
      <x:c r="AA465" t="str">
        <x:v>North-West</x:v>
      </x:c>
      <x:c r="AB465" s="16" t="n">
        <x:v>0</x:v>
      </x:c>
      <x:c r="AC465" s="16" t="n">
        <x:v>0</x:v>
      </x:c>
      <x:c r="AD465" s="1" t="b">
        <x:v>0</x:v>
      </x:c>
    </x:row>
    <x:row r="466">
      <x:c r="A466" t="str">
        <x:v>SYN-0465</x:v>
      </x:c>
      <x:c r="B466" s="12" t="n">
        <x:v>46221</x:v>
      </x:c>
      <x:c r="C466" t="str">
        <x:v>Synthetic New-Project Listing</x:v>
      </x:c>
      <x:c r="D466" t="str">
        <x:v>https://example.com/listings/SYN-0465</x:v>
      </x:c>
      <x:c r="E466" t="str">
        <x:v>New Project</x:v>
      </x:c>
      <x:c r="F466" t="str">
        <x:v>Kikar Residence</x:v>
      </x:c>
      <x:c r="G466" t="str">
        <x:v>Sample Development A</x:v>
      </x:c>
      <x:c r="H466" t="str">
        <x:v>Bavli 13, Tel Aviv</x:v>
      </x:c>
      <x:c r="I466" t="str">
        <x:v>Tel Aviv</x:v>
      </x:c>
      <x:c r="J466" t="str">
        <x:v>Kikar HaMedina / New North</x:v>
      </x:c>
      <x:c r="K466" s="14" t="n">
        <x:v>0.77</x:v>
      </x:c>
      <x:c r="L466" t="str">
        <x:v>Apartment</x:v>
      </x:c>
      <x:c r="M466" t="n">
        <x:v>3</x:v>
      </x:c>
      <x:c r="N466" s="16" t="n">
        <x:v>80.8</x:v>
      </x:c>
      <x:c r="O466" t="n">
        <x:v>6</x:v>
      </x:c>
      <x:c r="P466" t="n">
        <x:v>10</x:v>
      </x:c>
      <x:c r="Q466" s="18" t="n">
        <x:v>6920000</x:v>
      </x:c>
      <x:c r="R466" s="18" t="n">
        <x:f>IFERROR(Q466/N466,"")</x:f>
        <x:v>85643.56435643564</x:v>
      </x:c>
      <x:c r="S466" t="n">
        <x:v>2027</x:v>
      </x:c>
      <x:c r="T466" t="n">
        <x:v>0</x:v>
      </x:c>
      <x:c r="U466" t="str">
        <x:v>New</x:v>
      </x:c>
      <x:c r="V466" s="16" t="n">
        <x:v>22.4</x:v>
      </x:c>
      <x:c r="W466" t="str">
        <x:v>North-West</x:v>
      </x:c>
      <x:c r="X466" t="n">
        <x:v>1</x:v>
      </x:c>
      <x:c r="Y466" s="16" t="n">
        <x:v>3</x:v>
      </x:c>
      <x:c r="Z466" s="1" t="b">
        <x:v>1</x:v>
      </x:c>
      <x:c r="AA466" t="str">
        <x:v>North-West</x:v>
      </x:c>
      <x:c r="AB466" s="16" t="n">
        <x:v>0</x:v>
      </x:c>
      <x:c r="AC466" s="16" t="n">
        <x:v>0</x:v>
      </x:c>
      <x:c r="AD466" s="1" t="b">
        <x:v>0</x:v>
      </x:c>
    </x:row>
    <x:row r="467">
      <x:c r="A467" t="str">
        <x:v>SYN-0466</x:v>
      </x:c>
      <x:c r="B467" s="12" t="n">
        <x:v>46249</x:v>
      </x:c>
      <x:c r="C467" t="str">
        <x:v>Synthetic Yad2-like Listing</x:v>
      </x:c>
      <x:c r="D467" t="str">
        <x:v>https://example.com/listings/SYN-0466</x:v>
      </x:c>
      <x:c r="E467" t="str">
        <x:v>Second Hand</x:v>
      </x:c>
      <x:c r="F467" t="str"/>
      <x:c r="G467" t="str"/>
      <x:c r="H467" t="str">
        <x:v>Bavli 83, Tel Aviv</x:v>
      </x:c>
      <x:c r="I467" t="str">
        <x:v>Tel Aviv</x:v>
      </x:c>
      <x:c r="J467" t="str">
        <x:v>Kikar HaMedina / New North</x:v>
      </x:c>
      <x:c r="K467" s="14" t="n">
        <x:v>0.73</x:v>
      </x:c>
      <x:c r="L467" t="str">
        <x:v>Apartment</x:v>
      </x:c>
      <x:c r="M467" t="n">
        <x:v>5</x:v>
      </x:c>
      <x:c r="N467" s="16" t="n">
        <x:v>127.2</x:v>
      </x:c>
      <x:c r="O467" t="n">
        <x:v>1</x:v>
      </x:c>
      <x:c r="P467" t="n">
        <x:v>6</x:v>
      </x:c>
      <x:c r="Q467" s="18" t="n">
        <x:v>8940000</x:v>
      </x:c>
      <x:c r="R467" s="18" t="n">
        <x:f>IFERROR(Q467/N467,"")</x:f>
        <x:v>70283.01886792453</x:v>
      </x:c>
      <x:c r="S467" t="n">
        <x:v>1990</x:v>
      </x:c>
      <x:c r="T467" t="n">
        <x:v>36</x:v>
      </x:c>
      <x:c r="U467" t="str">
        <x:v>Good</x:v>
      </x:c>
      <x:c r="V467" s="16" t="n">
        <x:v>22</x:v>
      </x:c>
      <x:c r="W467" t="str">
        <x:v>South-East</x:v>
      </x:c>
      <x:c r="X467" t="n">
        <x:v>1</x:v>
      </x:c>
      <x:c r="Y467" s="16" t="n">
        <x:v>0</x:v>
      </x:c>
      <x:c r="Z467" s="1" t="b">
        <x:v>1</x:v>
      </x:c>
      <x:c r="AA467" t="str">
        <x:v>South-East, East</x:v>
      </x:c>
      <x:c r="AB467" s="16" t="n">
        <x:v>0</x:v>
      </x:c>
      <x:c r="AC467" s="16" t="n">
        <x:v>0</x:v>
      </x:c>
      <x:c r="AD467" s="1" t="b">
        <x:v>0</x:v>
      </x:c>
    </x:row>
    <x:row r="468">
      <x:c r="A468" t="str">
        <x:v>SYN-0467</x:v>
      </x:c>
      <x:c r="B468" s="12" t="n">
        <x:v>46236</x:v>
      </x:c>
      <x:c r="C468" t="str">
        <x:v>Synthetic New-Project Listing</x:v>
      </x:c>
      <x:c r="D468" t="str">
        <x:v>https://example.com/listings/SYN-0467</x:v>
      </x:c>
      <x:c r="E468" t="str">
        <x:v>New Project</x:v>
      </x:c>
      <x:c r="F468" t="str">
        <x:v>North TLV Living</x:v>
      </x:c>
      <x:c r="G468" t="str">
        <x:v>Sample Development D</x:v>
      </x:c>
      <x:c r="H468" t="str">
        <x:v>Weizmann 136, Tel Aviv</x:v>
      </x:c>
      <x:c r="I468" t="str">
        <x:v>Tel Aviv</x:v>
      </x:c>
      <x:c r="J468" t="str">
        <x:v>Kikar HaMedina / New North</x:v>
      </x:c>
      <x:c r="K468" s="14" t="n">
        <x:v>0.17</x:v>
      </x:c>
      <x:c r="L468" t="str">
        <x:v>Apartment</x:v>
      </x:c>
      <x:c r="M468" t="n">
        <x:v>4</x:v>
      </x:c>
      <x:c r="N468" s="16" t="n">
        <x:v>105.5</x:v>
      </x:c>
      <x:c r="O468" t="n">
        <x:v>10</x:v>
      </x:c>
      <x:c r="P468" t="n">
        <x:v>14</x:v>
      </x:c>
      <x:c r="Q468" s="18" t="n">
        <x:v>8770000</x:v>
      </x:c>
      <x:c r="R468" s="18" t="n">
        <x:f>IFERROR(Q468/N468,"")</x:f>
        <x:v>83127.96208530806</x:v>
      </x:c>
      <x:c r="S468" t="n">
        <x:v>2025</x:v>
      </x:c>
      <x:c r="T468" t="n">
        <x:v>1</x:v>
      </x:c>
      <x:c r="U468" t="str">
        <x:v>New</x:v>
      </x:c>
      <x:c r="V468" s="16" t="n">
        <x:v>15.9</x:v>
      </x:c>
      <x:c r="W468" t="str">
        <x:v>West</x:v>
      </x:c>
      <x:c r="X468" t="n">
        <x:v>1</x:v>
      </x:c>
      <x:c r="Y468" s="16" t="n">
        <x:v>8.7</x:v>
      </x:c>
      <x:c r="Z468" s="1" t="b">
        <x:v>1</x:v>
      </x:c>
      <x:c r="AA468" t="str">
        <x:v>West, West</x:v>
      </x:c>
      <x:c r="AB468" s="16" t="n">
        <x:v>0</x:v>
      </x:c>
      <x:c r="AC468" s="16" t="n">
        <x:v>0</x:v>
      </x:c>
      <x:c r="AD468" s="1" t="b">
        <x:v>0</x:v>
      </x:c>
    </x:row>
    <x:row r="469">
      <x:c r="A469" t="str">
        <x:v>SYN-0468</x:v>
      </x:c>
      <x:c r="B469" s="12" t="n">
        <x:v>46205</x:v>
      </x:c>
      <x:c r="C469" t="str">
        <x:v>Synthetic New-Project Listing</x:v>
      </x:c>
      <x:c r="D469" t="str">
        <x:v>https://example.com/listings/SYN-0468</x:v>
      </x:c>
      <x:c r="E469" t="str">
        <x:v>New Project</x:v>
      </x:c>
      <x:c r="F469" t="str">
        <x:v>Kikar Residence</x:v>
      </x:c>
      <x:c r="G469" t="str">
        <x:v>Sample Development A</x:v>
      </x:c>
      <x:c r="H469" t="str">
        <x:v>Pinkas 119, Tel Aviv</x:v>
      </x:c>
      <x:c r="I469" t="str">
        <x:v>Tel Aviv</x:v>
      </x:c>
      <x:c r="J469" t="str">
        <x:v>Kikar HaMedina / New North</x:v>
      </x:c>
      <x:c r="K469" s="14" t="n">
        <x:v>0.57</x:v>
      </x:c>
      <x:c r="L469" t="str">
        <x:v>Apartment</x:v>
      </x:c>
      <x:c r="M469" t="n">
        <x:v>2</x:v>
      </x:c>
      <x:c r="N469" s="16" t="n">
        <x:v>58.8</x:v>
      </x:c>
      <x:c r="O469" t="n">
        <x:v>6</x:v>
      </x:c>
      <x:c r="P469" t="n">
        <x:v>14</x:v>
      </x:c>
      <x:c r="Q469" s="18" t="n">
        <x:v>5170000</x:v>
      </x:c>
      <x:c r="R469" s="18" t="n">
        <x:f>IFERROR(Q469/N469,"")</x:f>
        <x:v>87925.17006802722</x:v>
      </x:c>
      <x:c r="S469" t="n">
        <x:v>2027</x:v>
      </x:c>
      <x:c r="T469" t="n">
        <x:v>0</x:v>
      </x:c>
      <x:c r="U469" t="str">
        <x:v>New</x:v>
      </x:c>
      <x:c r="V469" s="16" t="n">
        <x:v>20.5</x:v>
      </x:c>
      <x:c r="W469" t="str">
        <x:v>West</x:v>
      </x:c>
      <x:c r="X469" t="n">
        <x:v>1</x:v>
      </x:c>
      <x:c r="Y469" s="16" t="n">
        <x:v>7.8</x:v>
      </x:c>
      <x:c r="Z469" s="1" t="b">
        <x:v>1</x:v>
      </x:c>
      <x:c r="AA469" t="str">
        <x:v>West</x:v>
      </x:c>
      <x:c r="AB469" s="16" t="n">
        <x:v>0</x:v>
      </x:c>
      <x:c r="AC469" s="16" t="n">
        <x:v>0</x:v>
      </x:c>
      <x:c r="AD469" s="1" t="b">
        <x:v>0</x:v>
      </x:c>
    </x:row>
    <x:row r="470">
      <x:c r="A470" t="str">
        <x:v>SYN-0469</x:v>
      </x:c>
      <x:c r="B470" s="12" t="n">
        <x:v>46242</x:v>
      </x:c>
      <x:c r="C470" t="str">
        <x:v>Synthetic Yad2-like Listing</x:v>
      </x:c>
      <x:c r="D470" t="str">
        <x:v>https://example.com/listings/SYN-0469</x:v>
      </x:c>
      <x:c r="E470" t="str">
        <x:v>Second Hand</x:v>
      </x:c>
      <x:c r="F470" t="str"/>
      <x:c r="G470" t="str"/>
      <x:c r="H470" t="str">
        <x:v>Helsinki 109, Tel Aviv</x:v>
      </x:c>
      <x:c r="I470" t="str">
        <x:v>Tel Aviv</x:v>
      </x:c>
      <x:c r="J470" t="str">
        <x:v>Kikar HaMedina / New North</x:v>
      </x:c>
      <x:c r="K470" s="14" t="n">
        <x:v>0.05</x:v>
      </x:c>
      <x:c r="L470" t="str">
        <x:v>Apartment</x:v>
      </x:c>
      <x:c r="M470" t="n">
        <x:v>4</x:v>
      </x:c>
      <x:c r="N470" s="16" t="n">
        <x:v>95</x:v>
      </x:c>
      <x:c r="O470" t="n">
        <x:v>1</x:v>
      </x:c>
      <x:c r="P470" t="n">
        <x:v>18</x:v>
      </x:c>
      <x:c r="Q470" s="18" t="n">
        <x:v>6260000</x:v>
      </x:c>
      <x:c r="R470" s="18" t="n">
        <x:f>IFERROR(Q470/N470,"")</x:f>
        <x:v>65894.73684210527</x:v>
      </x:c>
      <x:c r="S470" t="n">
        <x:v>1977</x:v>
      </x:c>
      <x:c r="T470" t="n">
        <x:v>49</x:v>
      </x:c>
      <x:c r="U470" t="str">
        <x:v>Good</x:v>
      </x:c>
      <x:c r="V470" s="16" t="n">
        <x:v>11.4</x:v>
      </x:c>
      <x:c r="W470" t="str">
        <x:v>South-East</x:v>
      </x:c>
      <x:c r="X470" t="n">
        <x:v>1</x:v>
      </x:c>
      <x:c r="Y470" s="16" t="n">
        <x:v>0</x:v>
      </x:c>
      <x:c r="Z470" s="1" t="b">
        <x:v>1</x:v>
      </x:c>
      <x:c r="AA470" t="str">
        <x:v>South-East, South</x:v>
      </x:c>
      <x:c r="AB470" s="16" t="n">
        <x:v>0</x:v>
      </x:c>
      <x:c r="AC470" s="16" t="n">
        <x:v>0</x:v>
      </x:c>
      <x:c r="AD470" s="1" t="b">
        <x:v>0</x:v>
      </x:c>
    </x:row>
    <x:row r="471">
      <x:c r="A471" t="str">
        <x:v>SYN-0470</x:v>
      </x:c>
      <x:c r="B471" s="12" t="n">
        <x:v>46235</x:v>
      </x:c>
      <x:c r="C471" t="str">
        <x:v>Synthetic Yad2-like Listing</x:v>
      </x:c>
      <x:c r="D471" t="str">
        <x:v>https://example.com/listings/SYN-0470</x:v>
      </x:c>
      <x:c r="E471" t="str">
        <x:v>Second Hand</x:v>
      </x:c>
      <x:c r="F471" t="str"/>
      <x:c r="G471" t="str"/>
      <x:c r="H471" t="str">
        <x:v>Biltmore 101, Tel Aviv</x:v>
      </x:c>
      <x:c r="I471" t="str">
        <x:v>Tel Aviv</x:v>
      </x:c>
      <x:c r="J471" t="str">
        <x:v>Kikar HaMedina / New North</x:v>
      </x:c>
      <x:c r="K471" s="14" t="n">
        <x:v>0.8</x:v>
      </x:c>
      <x:c r="L471" t="str">
        <x:v>Apartment</x:v>
      </x:c>
      <x:c r="M471" t="n">
        <x:v>3</x:v>
      </x:c>
      <x:c r="N471" s="16" t="n">
        <x:v>80.7</x:v>
      </x:c>
      <x:c r="O471" t="n">
        <x:v>10</x:v>
      </x:c>
      <x:c r="P471" t="n">
        <x:v>14</x:v>
      </x:c>
      <x:c r="Q471" s="18" t="n">
        <x:v>5890000</x:v>
      </x:c>
      <x:c r="R471" s="18" t="n">
        <x:f>IFERROR(Q471/N471,"")</x:f>
        <x:v>72986.36926889715</x:v>
      </x:c>
      <x:c r="S471" t="n">
        <x:v>2016</x:v>
      </x:c>
      <x:c r="T471" t="n">
        <x:v>10</x:v>
      </x:c>
      <x:c r="U471" t="str">
        <x:v>Good</x:v>
      </x:c>
      <x:c r="V471" s="16" t="n">
        <x:v>8.9</x:v>
      </x:c>
      <x:c r="W471" t="str">
        <x:v>North</x:v>
      </x:c>
      <x:c r="X471" t="n">
        <x:v>1</x:v>
      </x:c>
      <x:c r="Y471" s="16" t="n">
        <x:v>6.7</x:v>
      </x:c>
      <x:c r="Z471" s="1" t="b">
        <x:v>1</x:v>
      </x:c>
      <x:c r="AA471" t="str">
        <x:v>North</x:v>
      </x:c>
      <x:c r="AB471" s="16" t="n">
        <x:v>0</x:v>
      </x:c>
      <x:c r="AC471" s="16" t="n">
        <x:v>0</x:v>
      </x:c>
      <x:c r="AD471" s="1" t="b">
        <x:v>0</x:v>
      </x:c>
    </x:row>
    <x:row r="472">
      <x:c r="A472" t="str">
        <x:v>SYN-0471</x:v>
      </x:c>
      <x:c r="B472" s="12" t="n">
        <x:v>46205</x:v>
      </x:c>
      <x:c r="C472" t="str">
        <x:v>Synthetic New-Project Listing</x:v>
      </x:c>
      <x:c r="D472" t="str">
        <x:v>https://example.com/listings/SYN-0471</x:v>
      </x:c>
      <x:c r="E472" t="str">
        <x:v>New Project</x:v>
      </x:c>
      <x:c r="F472" t="str">
        <x:v>Weizmann Urban</x:v>
      </x:c>
      <x:c r="G472" t="str">
        <x:v>Sample Development B</x:v>
      </x:c>
      <x:c r="H472" t="str">
        <x:v>Pinkas 48, Tel Aviv</x:v>
      </x:c>
      <x:c r="I472" t="str">
        <x:v>Tel Aviv</x:v>
      </x:c>
      <x:c r="J472" t="str">
        <x:v>Kikar HaMedina / New North</x:v>
      </x:c>
      <x:c r="K472" s="14" t="n">
        <x:v>0.44</x:v>
      </x:c>
      <x:c r="L472" t="str">
        <x:v>Apartment</x:v>
      </x:c>
      <x:c r="M472" t="n">
        <x:v>4</x:v>
      </x:c>
      <x:c r="N472" s="16" t="n">
        <x:v>95</x:v>
      </x:c>
      <x:c r="O472" t="n">
        <x:v>4</x:v>
      </x:c>
      <x:c r="P472" t="n">
        <x:v>16</x:v>
      </x:c>
      <x:c r="Q472" s="18" t="n">
        <x:v>7420000</x:v>
      </x:c>
      <x:c r="R472" s="18" t="n">
        <x:f>IFERROR(Q472/N472,"")</x:f>
        <x:v>78105.26315789473</x:v>
      </x:c>
      <x:c r="S472" t="n">
        <x:v>2027</x:v>
      </x:c>
      <x:c r="T472" t="n">
        <x:v>0</x:v>
      </x:c>
      <x:c r="U472" t="str">
        <x:v>New</x:v>
      </x:c>
      <x:c r="V472" s="16" t="n">
        <x:v>9.5</x:v>
      </x:c>
      <x:c r="W472" t="str">
        <x:v>South-West</x:v>
      </x:c>
      <x:c r="X472" t="n">
        <x:v>1</x:v>
      </x:c>
      <x:c r="Y472" s="16" t="n">
        <x:v>0</x:v>
      </x:c>
      <x:c r="Z472" s="1" t="b">
        <x:v>1</x:v>
      </x:c>
      <x:c r="AA472" t="str">
        <x:v>South-West, West</x:v>
      </x:c>
      <x:c r="AB472" s="16" t="n">
        <x:v>0</x:v>
      </x:c>
      <x:c r="AC472" s="16" t="n">
        <x:v>0</x:v>
      </x:c>
      <x:c r="AD472" s="1" t="b">
        <x:v>0</x:v>
      </x:c>
    </x:row>
    <x:row r="473">
      <x:c r="A473" t="str">
        <x:v>SYN-0472</x:v>
      </x:c>
      <x:c r="B473" s="12" t="n">
        <x:v>46225</x:v>
      </x:c>
      <x:c r="C473" t="str">
        <x:v>Synthetic New-Project Listing</x:v>
      </x:c>
      <x:c r="D473" t="str">
        <x:v>https://example.com/listings/SYN-0472</x:v>
      </x:c>
      <x:c r="E473" t="str">
        <x:v>New Project</x:v>
      </x:c>
      <x:c r="F473" t="str">
        <x:v>Helsinki Gardens</x:v>
      </x:c>
      <x:c r="G473" t="str">
        <x:v>Sample Development C</x:v>
      </x:c>
      <x:c r="H473" t="str">
        <x:v>Jabotinsky 135, Tel Aviv</x:v>
      </x:c>
      <x:c r="I473" t="str">
        <x:v>Tel Aviv</x:v>
      </x:c>
      <x:c r="J473" t="str">
        <x:v>Kikar HaMedina / New North</x:v>
      </x:c>
      <x:c r="K473" s="14" t="n">
        <x:v>0.58</x:v>
      </x:c>
      <x:c r="L473" t="str">
        <x:v>Apartment</x:v>
      </x:c>
      <x:c r="M473" t="n">
        <x:v>3</x:v>
      </x:c>
      <x:c r="N473" s="16" t="n">
        <x:v>66.8</x:v>
      </x:c>
      <x:c r="O473" t="n">
        <x:v>10</x:v>
      </x:c>
      <x:c r="P473" t="n">
        <x:v>11</x:v>
      </x:c>
      <x:c r="Q473" s="18" t="n">
        <x:v>5810000</x:v>
      </x:c>
      <x:c r="R473" s="18" t="n">
        <x:f>IFERROR(Q473/N473,"")</x:f>
        <x:v>86976.04790419163</x:v>
      </x:c>
      <x:c r="S473" t="n">
        <x:v>2027</x:v>
      </x:c>
      <x:c r="T473" t="n">
        <x:v>0</x:v>
      </x:c>
      <x:c r="U473" t="str">
        <x:v>New</x:v>
      </x:c>
      <x:c r="V473" s="16" t="n">
        <x:v>15.8</x:v>
      </x:c>
      <x:c r="W473" t="str">
        <x:v>West</x:v>
      </x:c>
      <x:c r="X473" t="n">
        <x:v>1</x:v>
      </x:c>
      <x:c r="Y473" s="16" t="n">
        <x:v>3.1</x:v>
      </x:c>
      <x:c r="Z473" s="1" t="b">
        <x:v>1</x:v>
      </x:c>
      <x:c r="AA473" t="str">
        <x:v>West, South</x:v>
      </x:c>
      <x:c r="AB473" s="16" t="n">
        <x:v>0</x:v>
      </x:c>
      <x:c r="AC473" s="16" t="n">
        <x:v>0</x:v>
      </x:c>
      <x:c r="AD473" s="1" t="b">
        <x:v>1</x:v>
      </x:c>
    </x:row>
    <x:row r="474">
      <x:c r="A474" t="str">
        <x:v>SYN-0473</x:v>
      </x:c>
      <x:c r="B474" s="12" t="n">
        <x:v>46246</x:v>
      </x:c>
      <x:c r="C474" t="str">
        <x:v>Synthetic Yad2-like Listing</x:v>
      </x:c>
      <x:c r="D474" t="str">
        <x:v>https://example.com/listings/SYN-0473</x:v>
      </x:c>
      <x:c r="E474" t="str">
        <x:v>Second Hand</x:v>
      </x:c>
      <x:c r="F474" t="str"/>
      <x:c r="G474" t="str"/>
      <x:c r="H474" t="str">
        <x:v>Epstein 133, Tel Aviv</x:v>
      </x:c>
      <x:c r="I474" t="str">
        <x:v>Tel Aviv</x:v>
      </x:c>
      <x:c r="J474" t="str">
        <x:v>Kikar HaMedina / New North</x:v>
      </x:c>
      <x:c r="K474" s="14" t="n">
        <x:v>0.79</x:v>
      </x:c>
      <x:c r="L474" t="str">
        <x:v>Apartment</x:v>
      </x:c>
      <x:c r="M474" t="n">
        <x:v>4</x:v>
      </x:c>
      <x:c r="N474" s="16" t="n">
        <x:v>107.8</x:v>
      </x:c>
      <x:c r="O474" t="n">
        <x:v>4</x:v>
      </x:c>
      <x:c r="P474" t="n">
        <x:v>15</x:v>
      </x:c>
      <x:c r="Q474" s="18" t="n">
        <x:v>7180000</x:v>
      </x:c>
      <x:c r="R474" s="18" t="n">
        <x:f>IFERROR(Q474/N474,"")</x:f>
        <x:v>66604.82374768089</x:v>
      </x:c>
      <x:c r="S474" t="n">
        <x:v>2015</x:v>
      </x:c>
      <x:c r="T474" t="n">
        <x:v>11</x:v>
      </x:c>
      <x:c r="U474" t="str">
        <x:v>Needs Renovation</x:v>
      </x:c>
      <x:c r="V474" s="16" t="n">
        <x:v>8.2</x:v>
      </x:c>
      <x:c r="W474" t="str">
        <x:v>North-West</x:v>
      </x:c>
      <x:c r="X474" t="n">
        <x:v>1</x:v>
      </x:c>
      <x:c r="Y474" s="16" t="n">
        <x:v>6.6</x:v>
      </x:c>
      <x:c r="Z474" s="1" t="b">
        <x:v>1</x:v>
      </x:c>
      <x:c r="AA474" t="str">
        <x:v>North-West</x:v>
      </x:c>
      <x:c r="AB474" s="16" t="n">
        <x:v>0</x:v>
      </x:c>
      <x:c r="AC474" s="16" t="n">
        <x:v>0</x:v>
      </x:c>
      <x:c r="AD474" s="1" t="b">
        <x:v>0</x:v>
      </x:c>
    </x:row>
    <x:row r="475">
      <x:c r="A475" t="str">
        <x:v>SYN-0474</x:v>
      </x:c>
      <x:c r="B475" s="12" t="n">
        <x:v>46226</x:v>
      </x:c>
      <x:c r="C475" t="str">
        <x:v>Synthetic Yad2-like Listing</x:v>
      </x:c>
      <x:c r="D475" t="str">
        <x:v>https://example.com/listings/SYN-0474</x:v>
      </x:c>
      <x:c r="E475" t="str">
        <x:v>Second Hand</x:v>
      </x:c>
      <x:c r="F475" t="str"/>
      <x:c r="G475" t="str"/>
      <x:c r="H475" t="str">
        <x:v>Klay 116, Tel Aviv</x:v>
      </x:c>
      <x:c r="I475" t="str">
        <x:v>Tel Aviv</x:v>
      </x:c>
      <x:c r="J475" t="str">
        <x:v>Kikar HaMedina / New North</x:v>
      </x:c>
      <x:c r="K475" s="14" t="n">
        <x:v>0.61</x:v>
      </x:c>
      <x:c r="L475" t="str">
        <x:v>Apartment</x:v>
      </x:c>
      <x:c r="M475" t="n">
        <x:v>3</x:v>
      </x:c>
      <x:c r="N475" s="16" t="n">
        <x:v>65.7</x:v>
      </x:c>
      <x:c r="O475" t="n">
        <x:v>9</x:v>
      </x:c>
      <x:c r="P475" t="n">
        <x:v>16</x:v>
      </x:c>
      <x:c r="Q475" s="18" t="n">
        <x:v>5060000</x:v>
      </x:c>
      <x:c r="R475" s="18" t="n">
        <x:f>IFERROR(Q475/N475,"")</x:f>
        <x:v>77016.74277016743</x:v>
      </x:c>
      <x:c r="S475" t="n">
        <x:v>2021</x:v>
      </x:c>
      <x:c r="T475" t="n">
        <x:v>5</x:v>
      </x:c>
      <x:c r="U475" t="str">
        <x:v>Renovated</x:v>
      </x:c>
      <x:c r="V475" s="16" t="n">
        <x:v>0</x:v>
      </x:c>
      <x:c r="W475" t="str"/>
      <x:c r="X475" t="n">
        <x:v>1</x:v>
      </x:c>
      <x:c r="Y475" s="16" t="n">
        <x:v>0</x:v>
      </x:c>
      <x:c r="Z475" s="1" t="b">
        <x:v>1</x:v>
      </x:c>
      <x:c r="AA475" t="str">
        <x:v>East-West</x:v>
      </x:c>
      <x:c r="AB475" s="16" t="n">
        <x:v>0</x:v>
      </x:c>
      <x:c r="AC475" s="16" t="n">
        <x:v>0</x:v>
      </x:c>
      <x:c r="AD475" s="1" t="b">
        <x:v>0</x:v>
      </x:c>
    </x:row>
    <x:row r="476">
      <x:c r="A476" t="str">
        <x:v>SYN-0475</x:v>
      </x:c>
      <x:c r="B476" s="12" t="n">
        <x:v>46239</x:v>
      </x:c>
      <x:c r="C476" t="str">
        <x:v>Synthetic Yad2-like Listing</x:v>
      </x:c>
      <x:c r="D476" t="str">
        <x:v>https://example.com/listings/SYN-0475</x:v>
      </x:c>
      <x:c r="E476" t="str">
        <x:v>Second Hand</x:v>
      </x:c>
      <x:c r="F476" t="str"/>
      <x:c r="G476" t="str"/>
      <x:c r="H476" t="str">
        <x:v>Weizmann 176, Tel Aviv</x:v>
      </x:c>
      <x:c r="I476" t="str">
        <x:v>Tel Aviv</x:v>
      </x:c>
      <x:c r="J476" t="str">
        <x:v>Kikar HaMedina / New North</x:v>
      </x:c>
      <x:c r="K476" s="14" t="n">
        <x:v>0.34</x:v>
      </x:c>
      <x:c r="L476" t="str">
        <x:v>Apartment</x:v>
      </x:c>
      <x:c r="M476" t="n">
        <x:v>3</x:v>
      </x:c>
      <x:c r="N476" s="16" t="n">
        <x:v>74.6</x:v>
      </x:c>
      <x:c r="O476" t="n">
        <x:v>4</x:v>
      </x:c>
      <x:c r="P476" t="n">
        <x:v>9</x:v>
      </x:c>
      <x:c r="Q476" s="18" t="n">
        <x:v>5730000</x:v>
      </x:c>
      <x:c r="R476" s="18" t="n">
        <x:f>IFERROR(Q476/N476,"")</x:f>
        <x:v>76809.65147453084</x:v>
      </x:c>
      <x:c r="S476" t="n">
        <x:v>2010</x:v>
      </x:c>
      <x:c r="T476" t="n">
        <x:v>16</x:v>
      </x:c>
      <x:c r="U476" t="str">
        <x:v>Renovated</x:v>
      </x:c>
      <x:c r="V476" s="16" t="n">
        <x:v>19.2</x:v>
      </x:c>
      <x:c r="W476" t="str">
        <x:v>South</x:v>
      </x:c>
      <x:c r="X476" t="n">
        <x:v>1</x:v>
      </x:c>
      <x:c r="Y476" s="16" t="n">
        <x:v>0</x:v>
      </x:c>
      <x:c r="Z476" s="1" t="b">
        <x:v>0</x:v>
      </x:c>
      <x:c r="AA476" t="str">
        <x:v>South, East</x:v>
      </x:c>
      <x:c r="AB476" s="16" t="n">
        <x:v>0</x:v>
      </x:c>
      <x:c r="AC476" s="16" t="n">
        <x:v>0</x:v>
      </x:c>
      <x:c r="AD476" s="1" t="b">
        <x:v>0</x:v>
      </x:c>
    </x:row>
    <x:row r="477">
      <x:c r="A477" t="str">
        <x:v>SYN-0476</x:v>
      </x:c>
      <x:c r="B477" s="12" t="n">
        <x:v>46239</x:v>
      </x:c>
      <x:c r="C477" t="str">
        <x:v>Synthetic Yad2-like Listing</x:v>
      </x:c>
      <x:c r="D477" t="str">
        <x:v>https://example.com/listings/SYN-0476</x:v>
      </x:c>
      <x:c r="E477" t="str">
        <x:v>Second Hand</x:v>
      </x:c>
      <x:c r="F477" t="str"/>
      <x:c r="G477" t="str"/>
      <x:c r="H477" t="str">
        <x:v>Pinkas 90, Tel Aviv</x:v>
      </x:c>
      <x:c r="I477" t="str">
        <x:v>Tel Aviv</x:v>
      </x:c>
      <x:c r="J477" t="str">
        <x:v>Kikar HaMedina / New North</x:v>
      </x:c>
      <x:c r="K477" s="14" t="n">
        <x:v>0.43</x:v>
      </x:c>
      <x:c r="L477" t="str">
        <x:v>Duplex</x:v>
      </x:c>
      <x:c r="M477" t="n">
        <x:v>3</x:v>
      </x:c>
      <x:c r="N477" s="16" t="n">
        <x:v>71.6</x:v>
      </x:c>
      <x:c r="O477" t="n">
        <x:v>12</x:v>
      </x:c>
      <x:c r="P477" t="n">
        <x:v>15</x:v>
      </x:c>
      <x:c r="Q477" s="18" t="n">
        <x:v>5760000</x:v>
      </x:c>
      <x:c r="R477" s="18" t="n">
        <x:f>IFERROR(Q477/N477,"")</x:f>
        <x:v>80446.92737430168</x:v>
      </x:c>
      <x:c r="S477" t="n">
        <x:v>1960</x:v>
      </x:c>
      <x:c r="T477" t="n">
        <x:v>66</x:v>
      </x:c>
      <x:c r="U477" t="str">
        <x:v>Renovated</x:v>
      </x:c>
      <x:c r="V477" s="16" t="n">
        <x:v>12.5</x:v>
      </x:c>
      <x:c r="W477" t="str">
        <x:v>South</x:v>
      </x:c>
      <x:c r="X477" t="n">
        <x:v>1</x:v>
      </x:c>
      <x:c r="Y477" s="16" t="n">
        <x:v>6</x:v>
      </x:c>
      <x:c r="Z477" s="1" t="b">
        <x:v>1</x:v>
      </x:c>
      <x:c r="AA477" t="str">
        <x:v>South, West</x:v>
      </x:c>
      <x:c r="AB477" s="16" t="n">
        <x:v>0</x:v>
      </x:c>
      <x:c r="AC477" s="16" t="n">
        <x:v>0</x:v>
      </x:c>
      <x:c r="AD477" s="1" t="b">
        <x:v>0</x:v>
      </x:c>
    </x:row>
    <x:row r="478">
      <x:c r="A478" t="str">
        <x:v>SYN-0477</x:v>
      </x:c>
      <x:c r="B478" s="12" t="n">
        <x:v>46216</x:v>
      </x:c>
      <x:c r="C478" t="str">
        <x:v>Synthetic New-Project Listing</x:v>
      </x:c>
      <x:c r="D478" t="str">
        <x:v>https://example.com/listings/SYN-0477</x:v>
      </x:c>
      <x:c r="E478" t="str">
        <x:v>New Project</x:v>
      </x:c>
      <x:c r="F478" t="str">
        <x:v>Kikar Residence</x:v>
      </x:c>
      <x:c r="G478" t="str">
        <x:v>Sample Development A</x:v>
      </x:c>
      <x:c r="H478" t="str">
        <x:v>Bavli 45, Tel Aviv</x:v>
      </x:c>
      <x:c r="I478" t="str">
        <x:v>Tel Aviv</x:v>
      </x:c>
      <x:c r="J478" t="str">
        <x:v>Kikar HaMedina / New North</x:v>
      </x:c>
      <x:c r="K478" s="14" t="n">
        <x:v>0.84</x:v>
      </x:c>
      <x:c r="L478" t="str">
        <x:v>Apartment</x:v>
      </x:c>
      <x:c r="M478" t="n">
        <x:v>2</x:v>
      </x:c>
      <x:c r="N478" s="16" t="n">
        <x:v>49.8</x:v>
      </x:c>
      <x:c r="O478" t="n">
        <x:v>11</x:v>
      </x:c>
      <x:c r="P478" t="n">
        <x:v>13</x:v>
      </x:c>
      <x:c r="Q478" s="18" t="n">
        <x:v>4270000</x:v>
      </x:c>
      <x:c r="R478" s="18" t="n">
        <x:f>IFERROR(Q478/N478,"")</x:f>
        <x:v>85742.9718875502</x:v>
      </x:c>
      <x:c r="S478" t="n">
        <x:v>2026</x:v>
      </x:c>
      <x:c r="T478" t="n">
        <x:v>0</x:v>
      </x:c>
      <x:c r="U478" t="str">
        <x:v>New</x:v>
      </x:c>
      <x:c r="V478" s="16" t="n">
        <x:v>8.5</x:v>
      </x:c>
      <x:c r="W478" t="str">
        <x:v>North-West</x:v>
      </x:c>
      <x:c r="X478" t="n">
        <x:v>1</x:v>
      </x:c>
      <x:c r="Y478" s="16" t="n">
        <x:v>5.7</x:v>
      </x:c>
      <x:c r="Z478" s="1" t="b">
        <x:v>1</x:v>
      </x:c>
      <x:c r="AA478" t="str">
        <x:v>North-West, West</x:v>
      </x:c>
      <x:c r="AB478" s="16" t="n">
        <x:v>0</x:v>
      </x:c>
      <x:c r="AC478" s="16" t="n">
        <x:v>0</x:v>
      </x:c>
      <x:c r="AD478" s="1" t="b">
        <x:v>0</x:v>
      </x:c>
    </x:row>
    <x:row r="479">
      <x:c r="A479" t="str">
        <x:v>SYN-0478</x:v>
      </x:c>
      <x:c r="B479" s="12" t="n">
        <x:v>46231</x:v>
      </x:c>
      <x:c r="C479" t="str">
        <x:v>Synthetic New-Project Listing</x:v>
      </x:c>
      <x:c r="D479" t="str">
        <x:v>https://example.com/listings/SYN-0478</x:v>
      </x:c>
      <x:c r="E479" t="str">
        <x:v>New Project</x:v>
      </x:c>
      <x:c r="F479" t="str">
        <x:v>Kikar Residence</x:v>
      </x:c>
      <x:c r="G479" t="str">
        <x:v>Sample Development A</x:v>
      </x:c>
      <x:c r="H479" t="str">
        <x:v>Pinkas 135, Tel Aviv</x:v>
      </x:c>
      <x:c r="I479" t="str">
        <x:v>Tel Aviv</x:v>
      </x:c>
      <x:c r="J479" t="str">
        <x:v>Kikar HaMedina / New North</x:v>
      </x:c>
      <x:c r="K479" s="14" t="n">
        <x:v>0.4</x:v>
      </x:c>
      <x:c r="L479" t="str">
        <x:v>Apartment</x:v>
      </x:c>
      <x:c r="M479" t="n">
        <x:v>3</x:v>
      </x:c>
      <x:c r="N479" s="16" t="n">
        <x:v>69.6</x:v>
      </x:c>
      <x:c r="O479" t="n">
        <x:v>4</x:v>
      </x:c>
      <x:c r="P479" t="n">
        <x:v>6</x:v>
      </x:c>
      <x:c r="Q479" s="18" t="n">
        <x:v>5500000</x:v>
      </x:c>
      <x:c r="R479" s="18" t="n">
        <x:f>IFERROR(Q479/N479,"")</x:f>
        <x:v>79022.98850574714</x:v>
      </x:c>
      <x:c r="S479" t="n">
        <x:v>2026</x:v>
      </x:c>
      <x:c r="T479" t="n">
        <x:v>0</x:v>
      </x:c>
      <x:c r="U479" t="str">
        <x:v>New</x:v>
      </x:c>
      <x:c r="V479" s="16" t="n">
        <x:v>0</x:v>
      </x:c>
      <x:c r="W479" t="str"/>
      <x:c r="X479" t="n">
        <x:v>1</x:v>
      </x:c>
      <x:c r="Y479" s="16" t="n">
        <x:v>8.5</x:v>
      </x:c>
      <x:c r="Z479" s="1" t="b">
        <x:v>1</x:v>
      </x:c>
      <x:c r="AA479" t="str">
        <x:v>North</x:v>
      </x:c>
      <x:c r="AB479" s="16" t="n">
        <x:v>0</x:v>
      </x:c>
      <x:c r="AC479" s="16" t="n">
        <x:v>0</x:v>
      </x:c>
      <x:c r="AD479" s="1" t="b">
        <x:v>0</x:v>
      </x:c>
    </x:row>
    <x:row r="480">
      <x:c r="A480" t="str">
        <x:v>SYN-0479</x:v>
      </x:c>
      <x:c r="B480" s="12" t="n">
        <x:v>46233</x:v>
      </x:c>
      <x:c r="C480" t="str">
        <x:v>Synthetic Yad2-like Listing</x:v>
      </x:c>
      <x:c r="D480" t="str">
        <x:v>https://example.com/listings/SYN-0479</x:v>
      </x:c>
      <x:c r="E480" t="str">
        <x:v>Second Hand</x:v>
      </x:c>
      <x:c r="F480" t="str"/>
      <x:c r="G480" t="str"/>
      <x:c r="H480" t="str">
        <x:v>Bavli 33, Tel Aviv</x:v>
      </x:c>
      <x:c r="I480" t="str">
        <x:v>Tel Aviv</x:v>
      </x:c>
      <x:c r="J480" t="str">
        <x:v>Kikar HaMedina / New North</x:v>
      </x:c>
      <x:c r="K480" s="14" t="n">
        <x:v>0.9</x:v>
      </x:c>
      <x:c r="L480" t="str">
        <x:v>Apartment</x:v>
      </x:c>
      <x:c r="M480" t="n">
        <x:v>5</x:v>
      </x:c>
      <x:c r="N480" s="16" t="n">
        <x:v>124</x:v>
      </x:c>
      <x:c r="O480" t="n">
        <x:v>8</x:v>
      </x:c>
      <x:c r="P480" t="n">
        <x:v>9</x:v>
      </x:c>
      <x:c r="Q480" s="18" t="n">
        <x:v>8000000</x:v>
      </x:c>
      <x:c r="R480" s="18" t="n">
        <x:f>IFERROR(Q480/N480,"")</x:f>
        <x:v>64516.12903225807</x:v>
      </x:c>
      <x:c r="S480" t="n">
        <x:v>1994</x:v>
      </x:c>
      <x:c r="T480" t="n">
        <x:v>32</x:v>
      </x:c>
      <x:c r="U480" t="str">
        <x:v>Needs Renovation</x:v>
      </x:c>
      <x:c r="V480" s="16" t="n">
        <x:v>0</x:v>
      </x:c>
      <x:c r="W480" t="str"/>
      <x:c r="X480" t="n">
        <x:v>2</x:v>
      </x:c>
      <x:c r="Y480" s="16" t="n">
        <x:v>6.6</x:v>
      </x:c>
      <x:c r="Z480" s="1" t="b">
        <x:v>1</x:v>
      </x:c>
      <x:c r="AA480" t="str">
        <x:v>West</x:v>
      </x:c>
      <x:c r="AB480" s="16" t="n">
        <x:v>0</x:v>
      </x:c>
      <x:c r="AC480" s="16" t="n">
        <x:v>0</x:v>
      </x:c>
      <x:c r="AD480" s="1" t="b">
        <x:v>1</x:v>
      </x:c>
    </x:row>
    <x:row r="481">
      <x:c r="A481" t="str">
        <x:v>SYN-0480</x:v>
      </x:c>
      <x:c r="B481" s="12" t="n">
        <x:v>46247</x:v>
      </x:c>
      <x:c r="C481" t="str">
        <x:v>Synthetic Yad2-like Listing</x:v>
      </x:c>
      <x:c r="D481" t="str">
        <x:v>https://example.com/listings/SYN-0480</x:v>
      </x:c>
      <x:c r="E481" t="str">
        <x:v>Second Hand</x:v>
      </x:c>
      <x:c r="F481" t="str"/>
      <x:c r="G481" t="str"/>
      <x:c r="H481" t="str">
        <x:v>Jabotinsky 133, Tel Aviv</x:v>
      </x:c>
      <x:c r="I481" t="str">
        <x:v>Tel Aviv</x:v>
      </x:c>
      <x:c r="J481" t="str">
        <x:v>Kikar HaMedina / New North</x:v>
      </x:c>
      <x:c r="K481" s="14" t="n">
        <x:v>0.6</x:v>
      </x:c>
      <x:c r="L481" t="str">
        <x:v>Apartment</x:v>
      </x:c>
      <x:c r="M481" t="n">
        <x:v>2</x:v>
      </x:c>
      <x:c r="N481" s="16" t="n">
        <x:v>49.8</x:v>
      </x:c>
      <x:c r="O481" t="n">
        <x:v>10</x:v>
      </x:c>
      <x:c r="P481" t="n">
        <x:v>12</x:v>
      </x:c>
      <x:c r="Q481" s="18" t="n">
        <x:v>3720000</x:v>
      </x:c>
      <x:c r="R481" s="18" t="n">
        <x:f>IFERROR(Q481/N481,"")</x:f>
        <x:v>74698.7951807229</x:v>
      </x:c>
      <x:c r="S481" t="n">
        <x:v>2005</x:v>
      </x:c>
      <x:c r="T481" t="n">
        <x:v>21</x:v>
      </x:c>
      <x:c r="U481" t="str">
        <x:v>Renovated</x:v>
      </x:c>
      <x:c r="V481" s="16" t="n">
        <x:v>15.7</x:v>
      </x:c>
      <x:c r="W481" t="str">
        <x:v>North-West</x:v>
      </x:c>
      <x:c r="X481" t="n">
        <x:v>0</x:v>
      </x:c>
      <x:c r="Y481" s="16" t="n">
        <x:v>7.1</x:v>
      </x:c>
      <x:c r="Z481" s="1" t="b">
        <x:v>1</x:v>
      </x:c>
      <x:c r="AA481" t="str">
        <x:v>North-West, South</x:v>
      </x:c>
      <x:c r="AB481" s="16" t="n">
        <x:v>0</x:v>
      </x:c>
      <x:c r="AC481" s="16" t="n">
        <x:v>0</x:v>
      </x:c>
      <x:c r="AD481" s="1" t="b">
        <x:v>0</x:v>
      </x:c>
    </x:row>
    <x:row r="482">
      <x:c r="A482" t="str">
        <x:v>SYN-0481</x:v>
      </x:c>
      <x:c r="B482" s="12" t="n">
        <x:v>46238</x:v>
      </x:c>
      <x:c r="C482" t="str">
        <x:v>Synthetic Yad2-like Listing</x:v>
      </x:c>
      <x:c r="D482" t="str">
        <x:v>https://example.com/listings/SYN-0481</x:v>
      </x:c>
      <x:c r="E482" t="str">
        <x:v>Second Hand</x:v>
      </x:c>
      <x:c r="F482" t="str"/>
      <x:c r="G482" t="str"/>
      <x:c r="H482" t="str">
        <x:v>Klay 32, Tel Aviv</x:v>
      </x:c>
      <x:c r="I482" t="str">
        <x:v>Tel Aviv</x:v>
      </x:c>
      <x:c r="J482" t="str">
        <x:v>Kikar HaMedina / New North</x:v>
      </x:c>
      <x:c r="K482" s="14" t="n">
        <x:v>0.57</x:v>
      </x:c>
      <x:c r="L482" t="str">
        <x:v>Apartment</x:v>
      </x:c>
      <x:c r="M482" t="n">
        <x:v>2</x:v>
      </x:c>
      <x:c r="N482" s="16" t="n">
        <x:v>54.8</x:v>
      </x:c>
      <x:c r="O482" t="n">
        <x:v>11</x:v>
      </x:c>
      <x:c r="P482" t="n">
        <x:v>12</x:v>
      </x:c>
      <x:c r="Q482" s="18" t="n">
        <x:v>4110000</x:v>
      </x:c>
      <x:c r="R482" s="18" t="n">
        <x:f>IFERROR(Q482/N482,"")</x:f>
        <x:v>75000</x:v>
      </x:c>
      <x:c r="S482" t="n">
        <x:v>1990</x:v>
      </x:c>
      <x:c r="T482" t="n">
        <x:v>36</x:v>
      </x:c>
      <x:c r="U482" t="str">
        <x:v>Renovated</x:v>
      </x:c>
      <x:c r="V482" s="16" t="n">
        <x:v>9.1</x:v>
      </x:c>
      <x:c r="W482" t="str">
        <x:v>East</x:v>
      </x:c>
      <x:c r="X482" t="n">
        <x:v>1</x:v>
      </x:c>
      <x:c r="Y482" s="16" t="n">
        <x:v>3.7</x:v>
      </x:c>
      <x:c r="Z482" s="1" t="b">
        <x:v>1</x:v>
      </x:c>
      <x:c r="AA482" t="str">
        <x:v>East</x:v>
      </x:c>
      <x:c r="AB482" s="16" t="n">
        <x:v>0</x:v>
      </x:c>
      <x:c r="AC482" s="16" t="n">
        <x:v>0</x:v>
      </x:c>
      <x:c r="AD482" s="1" t="b">
        <x:v>1</x:v>
      </x:c>
    </x:row>
    <x:row r="483">
      <x:c r="A483" t="str">
        <x:v>SYN-0482</x:v>
      </x:c>
      <x:c r="B483" s="12" t="n">
        <x:v>46229</x:v>
      </x:c>
      <x:c r="C483" t="str">
        <x:v>Synthetic New-Project Listing</x:v>
      </x:c>
      <x:c r="D483" t="str">
        <x:v>https://example.com/listings/SYN-0482</x:v>
      </x:c>
      <x:c r="E483" t="str">
        <x:v>New Project</x:v>
      </x:c>
      <x:c r="F483" t="str">
        <x:v>Weizmann Urban</x:v>
      </x:c>
      <x:c r="G483" t="str">
        <x:v>Sample Development B</x:v>
      </x:c>
      <x:c r="H483" t="str">
        <x:v>Lissin 123, Tel Aviv</x:v>
      </x:c>
      <x:c r="I483" t="str">
        <x:v>Tel Aviv</x:v>
      </x:c>
      <x:c r="J483" t="str">
        <x:v>Kikar HaMedina / New North</x:v>
      </x:c>
      <x:c r="K483" s="14" t="n">
        <x:v>0.66</x:v>
      </x:c>
      <x:c r="L483" t="str">
        <x:v>Apartment</x:v>
      </x:c>
      <x:c r="M483" t="n">
        <x:v>4</x:v>
      </x:c>
      <x:c r="N483" s="16" t="n">
        <x:v>96.8</x:v>
      </x:c>
      <x:c r="O483" t="n">
        <x:v>10</x:v>
      </x:c>
      <x:c r="P483" t="n">
        <x:v>12</x:v>
      </x:c>
      <x:c r="Q483" s="18" t="n">
        <x:v>7990000</x:v>
      </x:c>
      <x:c r="R483" s="18" t="n">
        <x:f>IFERROR(Q483/N483,"")</x:f>
        <x:v>82541.32231404958</x:v>
      </x:c>
      <x:c r="S483" t="n">
        <x:v>2027</x:v>
      </x:c>
      <x:c r="T483" t="n">
        <x:v>0</x:v>
      </x:c>
      <x:c r="U483" t="str">
        <x:v>New</x:v>
      </x:c>
      <x:c r="V483" s="16" t="n">
        <x:v>21.1</x:v>
      </x:c>
      <x:c r="W483" t="str">
        <x:v>West</x:v>
      </x:c>
      <x:c r="X483" t="n">
        <x:v>1</x:v>
      </x:c>
      <x:c r="Y483" s="16" t="n">
        <x:v>0</x:v>
      </x:c>
      <x:c r="Z483" s="1" t="b">
        <x:v>1</x:v>
      </x:c>
      <x:c r="AA483" t="str">
        <x:v>West, West</x:v>
      </x:c>
      <x:c r="AB483" s="16" t="n">
        <x:v>0</x:v>
      </x:c>
      <x:c r="AC483" s="16" t="n">
        <x:v>0</x:v>
      </x:c>
      <x:c r="AD483" s="1" t="b">
        <x:v>0</x:v>
      </x:c>
    </x:row>
    <x:row r="484">
      <x:c r="A484" t="str">
        <x:v>SYN-0483</x:v>
      </x:c>
      <x:c r="B484" s="12" t="n">
        <x:v>46236</x:v>
      </x:c>
      <x:c r="C484" t="str">
        <x:v>Synthetic New-Project Listing</x:v>
      </x:c>
      <x:c r="D484" t="str">
        <x:v>https://example.com/listings/SYN-0483</x:v>
      </x:c>
      <x:c r="E484" t="str">
        <x:v>New Project</x:v>
      </x:c>
      <x:c r="F484" t="str">
        <x:v>Medina Boutique</x:v>
      </x:c>
      <x:c r="G484" t="str">
        <x:v>Sample Development E</x:v>
      </x:c>
      <x:c r="H484" t="str">
        <x:v>Lissin 36, Tel Aviv</x:v>
      </x:c>
      <x:c r="I484" t="str">
        <x:v>Tel Aviv</x:v>
      </x:c>
      <x:c r="J484" t="str">
        <x:v>Kikar HaMedina / New North</x:v>
      </x:c>
      <x:c r="K484" s="14" t="n">
        <x:v>0.82</x:v>
      </x:c>
      <x:c r="L484" t="str">
        <x:v>Duplex</x:v>
      </x:c>
      <x:c r="M484" t="n">
        <x:v>4</x:v>
      </x:c>
      <x:c r="N484" s="16" t="n">
        <x:v>97.3</x:v>
      </x:c>
      <x:c r="O484" t="n">
        <x:v>6</x:v>
      </x:c>
      <x:c r="P484" t="n">
        <x:v>9</x:v>
      </x:c>
      <x:c r="Q484" s="18" t="n">
        <x:v>8060000</x:v>
      </x:c>
      <x:c r="R484" s="18" t="n">
        <x:f>IFERROR(Q484/N484,"")</x:f>
        <x:v>82836.5878725591</x:v>
      </x:c>
      <x:c r="S484" t="n">
        <x:v>2027</x:v>
      </x:c>
      <x:c r="T484" t="n">
        <x:v>0</x:v>
      </x:c>
      <x:c r="U484" t="str">
        <x:v>New</x:v>
      </x:c>
      <x:c r="V484" s="16" t="n">
        <x:v>17</x:v>
      </x:c>
      <x:c r="W484" t="str">
        <x:v>North</x:v>
      </x:c>
      <x:c r="X484" t="n">
        <x:v>1</x:v>
      </x:c>
      <x:c r="Y484" s="16" t="n">
        <x:v>7.6</x:v>
      </x:c>
      <x:c r="Z484" s="1" t="b">
        <x:v>1</x:v>
      </x:c>
      <x:c r="AA484" t="str">
        <x:v>North, East</x:v>
      </x:c>
      <x:c r="AB484" s="16" t="n">
        <x:v>0</x:v>
      </x:c>
      <x:c r="AC484" s="16" t="n">
        <x:v>0</x:v>
      </x:c>
      <x:c r="AD484" s="1" t="b">
        <x:v>0</x:v>
      </x:c>
    </x:row>
    <x:row r="485">
      <x:c r="A485" t="str">
        <x:v>SYN-0484</x:v>
      </x:c>
      <x:c r="B485" s="12" t="n">
        <x:v>46236</x:v>
      </x:c>
      <x:c r="C485" t="str">
        <x:v>Synthetic New-Project Listing</x:v>
      </x:c>
      <x:c r="D485" t="str">
        <x:v>https://example.com/listings/SYN-0484</x:v>
      </x:c>
      <x:c r="E485" t="str">
        <x:v>New Project</x:v>
      </x:c>
      <x:c r="F485" t="str">
        <x:v>North TLV Living</x:v>
      </x:c>
      <x:c r="G485" t="str">
        <x:v>Sample Development D</x:v>
      </x:c>
      <x:c r="H485" t="str">
        <x:v>Weizmann 166, Tel Aviv</x:v>
      </x:c>
      <x:c r="I485" t="str">
        <x:v>Tel Aviv</x:v>
      </x:c>
      <x:c r="J485" t="str">
        <x:v>Kikar HaMedina / New North</x:v>
      </x:c>
      <x:c r="K485" s="14" t="n">
        <x:v>0.3</x:v>
      </x:c>
      <x:c r="L485" t="str">
        <x:v>Penthouse</x:v>
      </x:c>
      <x:c r="M485" t="n">
        <x:v>5</x:v>
      </x:c>
      <x:c r="N485" s="16" t="n">
        <x:v>125.7</x:v>
      </x:c>
      <x:c r="O485" t="n">
        <x:v>8</x:v>
      </x:c>
      <x:c r="P485" t="n">
        <x:v>10</x:v>
      </x:c>
      <x:c r="Q485" s="18" t="n">
        <x:v>11920000</x:v>
      </x:c>
      <x:c r="R485" s="18" t="n">
        <x:f>IFERROR(Q485/N485,"")</x:f>
        <x:v>94828.95783611774</x:v>
      </x:c>
      <x:c r="S485" t="n">
        <x:v>2026</x:v>
      </x:c>
      <x:c r="T485" t="n">
        <x:v>0</x:v>
      </x:c>
      <x:c r="U485" t="str">
        <x:v>New</x:v>
      </x:c>
      <x:c r="V485" s="16" t="n">
        <x:v>42.5</x:v>
      </x:c>
      <x:c r="W485" t="str">
        <x:v>South-West</x:v>
      </x:c>
      <x:c r="X485" t="n">
        <x:v>1</x:v>
      </x:c>
      <x:c r="Y485" s="16" t="n">
        <x:v>8.3</x:v>
      </x:c>
      <x:c r="Z485" s="1" t="b">
        <x:v>1</x:v>
      </x:c>
      <x:c r="AA485" t="str">
        <x:v>South-West, North</x:v>
      </x:c>
      <x:c r="AB485" s="16" t="n">
        <x:v>0</x:v>
      </x:c>
      <x:c r="AC485" s="16" t="n">
        <x:v>40.2</x:v>
      </x:c>
      <x:c r="AD485" s="1" t="b">
        <x:v>0</x:v>
      </x:c>
    </x:row>
    <x:row r="486">
      <x:c r="A486" t="str">
        <x:v>SYN-0485</x:v>
      </x:c>
      <x:c r="B486" s="12" t="n">
        <x:v>46230</x:v>
      </x:c>
      <x:c r="C486" t="str">
        <x:v>Synthetic Yad2-like Listing</x:v>
      </x:c>
      <x:c r="D486" t="str">
        <x:v>https://example.com/listings/SYN-0485</x:v>
      </x:c>
      <x:c r="E486" t="str">
        <x:v>Second Hand</x:v>
      </x:c>
      <x:c r="F486" t="str"/>
      <x:c r="G486" t="str"/>
      <x:c r="H486" t="str">
        <x:v>Lissin 61, Tel Aviv</x:v>
      </x:c>
      <x:c r="I486" t="str">
        <x:v>Tel Aviv</x:v>
      </x:c>
      <x:c r="J486" t="str">
        <x:v>Kikar HaMedina / New North</x:v>
      </x:c>
      <x:c r="K486" s="14" t="n">
        <x:v>0.62</x:v>
      </x:c>
      <x:c r="L486" t="str">
        <x:v>Apartment</x:v>
      </x:c>
      <x:c r="M486" t="n">
        <x:v>4</x:v>
      </x:c>
      <x:c r="N486" s="16" t="n">
        <x:v>90.6</x:v>
      </x:c>
      <x:c r="O486" t="n">
        <x:v>5</x:v>
      </x:c>
      <x:c r="P486" t="n">
        <x:v>15</x:v>
      </x:c>
      <x:c r="Q486" s="18" t="n">
        <x:v>6890000</x:v>
      </x:c>
      <x:c r="R486" s="18" t="n">
        <x:f>IFERROR(Q486/N486,"")</x:f>
        <x:v>76048.5651214128</x:v>
      </x:c>
      <x:c r="S486" t="n">
        <x:v>2002</x:v>
      </x:c>
      <x:c r="T486" t="n">
        <x:v>24</x:v>
      </x:c>
      <x:c r="U486" t="str">
        <x:v>Renovated</x:v>
      </x:c>
      <x:c r="V486" s="16" t="n">
        <x:v>17.9</x:v>
      </x:c>
      <x:c r="W486" t="str">
        <x:v>South-East</x:v>
      </x:c>
      <x:c r="X486" t="n">
        <x:v>1</x:v>
      </x:c>
      <x:c r="Y486" s="16" t="n">
        <x:v>8.1</x:v>
      </x:c>
      <x:c r="Z486" s="1" t="b">
        <x:v>1</x:v>
      </x:c>
      <x:c r="AA486" t="str">
        <x:v>South-East</x:v>
      </x:c>
      <x:c r="AB486" s="16" t="n">
        <x:v>0</x:v>
      </x:c>
      <x:c r="AC486" s="16" t="n">
        <x:v>0</x:v>
      </x:c>
      <x:c r="AD486" s="1" t="b">
        <x:v>0</x:v>
      </x:c>
    </x:row>
    <x:row r="487">
      <x:c r="A487" t="str">
        <x:v>SYN-0486</x:v>
      </x:c>
      <x:c r="B487" s="12" t="n">
        <x:v>46214</x:v>
      </x:c>
      <x:c r="C487" t="str">
        <x:v>Synthetic Yad2-like Listing</x:v>
      </x:c>
      <x:c r="D487" t="str">
        <x:v>https://example.com/listings/SYN-0486</x:v>
      </x:c>
      <x:c r="E487" t="str">
        <x:v>Second Hand</x:v>
      </x:c>
      <x:c r="F487" t="str"/>
      <x:c r="G487" t="str"/>
      <x:c r="H487" t="str">
        <x:v>Jabotinsky 51, Tel Aviv</x:v>
      </x:c>
      <x:c r="I487" t="str">
        <x:v>Tel Aviv</x:v>
      </x:c>
      <x:c r="J487" t="str">
        <x:v>Kikar HaMedina / New North</x:v>
      </x:c>
      <x:c r="K487" s="14" t="n">
        <x:v>0.6</x:v>
      </x:c>
      <x:c r="L487" t="str">
        <x:v>Apartment</x:v>
      </x:c>
      <x:c r="M487" t="n">
        <x:v>2</x:v>
      </x:c>
      <x:c r="N487" s="16" t="n">
        <x:v>49.5</x:v>
      </x:c>
      <x:c r="O487" t="n">
        <x:v>0</x:v>
      </x:c>
      <x:c r="P487" t="n">
        <x:v>17</x:v>
      </x:c>
      <x:c r="Q487" s="18" t="n">
        <x:v>3470000</x:v>
      </x:c>
      <x:c r="R487" s="18" t="n">
        <x:f>IFERROR(Q487/N487,"")</x:f>
        <x:v>70101.0101010101</x:v>
      </x:c>
      <x:c r="S487" t="n">
        <x:v>2000</x:v>
      </x:c>
      <x:c r="T487" t="n">
        <x:v>26</x:v>
      </x:c>
      <x:c r="U487" t="str">
        <x:v>Good</x:v>
      </x:c>
      <x:c r="V487" s="16" t="n">
        <x:v>18.1</x:v>
      </x:c>
      <x:c r="W487" t="str">
        <x:v>North</x:v>
      </x:c>
      <x:c r="X487" t="n">
        <x:v>0</x:v>
      </x:c>
      <x:c r="Y487" s="16" t="n">
        <x:v>7.9</x:v>
      </x:c>
      <x:c r="Z487" s="1" t="b">
        <x:v>1</x:v>
      </x:c>
      <x:c r="AA487" t="str">
        <x:v>North</x:v>
      </x:c>
      <x:c r="AB487" s="16" t="n">
        <x:v>0</x:v>
      </x:c>
      <x:c r="AC487" s="16" t="n">
        <x:v>0</x:v>
      </x:c>
      <x:c r="AD487" s="1" t="b">
        <x:v>0</x:v>
      </x:c>
    </x:row>
    <x:row r="488">
      <x:c r="A488" t="str">
        <x:v>SYN-0487</x:v>
      </x:c>
      <x:c r="B488" s="12" t="n">
        <x:v>46217</x:v>
      </x:c>
      <x:c r="C488" t="str">
        <x:v>Synthetic Yad2-like Listing</x:v>
      </x:c>
      <x:c r="D488" t="str">
        <x:v>https://example.com/listings/SYN-0487</x:v>
      </x:c>
      <x:c r="E488" t="str">
        <x:v>Second Hand</x:v>
      </x:c>
      <x:c r="F488" t="str"/>
      <x:c r="G488" t="str"/>
      <x:c r="H488" t="str">
        <x:v>Klay 175, Tel Aviv</x:v>
      </x:c>
      <x:c r="I488" t="str">
        <x:v>Tel Aviv</x:v>
      </x:c>
      <x:c r="J488" t="str">
        <x:v>Kikar HaMedina / New North</x:v>
      </x:c>
      <x:c r="K488" s="14" t="n">
        <x:v>0.65</x:v>
      </x:c>
      <x:c r="L488" t="str">
        <x:v>Duplex</x:v>
      </x:c>
      <x:c r="M488" t="n">
        <x:v>4</x:v>
      </x:c>
      <x:c r="N488" s="16" t="n">
        <x:v>103.8</x:v>
      </x:c>
      <x:c r="O488" t="n">
        <x:v>1</x:v>
      </x:c>
      <x:c r="P488" t="n">
        <x:v>13</x:v>
      </x:c>
      <x:c r="Q488" s="18" t="n">
        <x:v>7350000</x:v>
      </x:c>
      <x:c r="R488" s="18" t="n">
        <x:f>IFERROR(Q488/N488,"")</x:f>
        <x:v>70809.2485549133</x:v>
      </x:c>
      <x:c r="S488" t="n">
        <x:v>2009</x:v>
      </x:c>
      <x:c r="T488" t="n">
        <x:v>17</x:v>
      </x:c>
      <x:c r="U488" t="str">
        <x:v>Good</x:v>
      </x:c>
      <x:c r="V488" s="16" t="n">
        <x:v>0</x:v>
      </x:c>
      <x:c r="W488" t="str"/>
      <x:c r="X488" t="n">
        <x:v>1</x:v>
      </x:c>
      <x:c r="Y488" s="16" t="n">
        <x:v>4</x:v>
      </x:c>
      <x:c r="Z488" s="1" t="b">
        <x:v>1</x:v>
      </x:c>
      <x:c r="AA488" t="str">
        <x:v>North-East</x:v>
      </x:c>
      <x:c r="AB488" s="16" t="n">
        <x:v>0</x:v>
      </x:c>
      <x:c r="AC488" s="16" t="n">
        <x:v>0</x:v>
      </x:c>
      <x:c r="AD488" s="1" t="b">
        <x:v>0</x:v>
      </x:c>
    </x:row>
    <x:row r="489">
      <x:c r="A489" t="str">
        <x:v>SYN-0488</x:v>
      </x:c>
      <x:c r="B489" s="12" t="n">
        <x:v>46205</x:v>
      </x:c>
      <x:c r="C489" t="str">
        <x:v>Synthetic Yad2-like Listing</x:v>
      </x:c>
      <x:c r="D489" t="str">
        <x:v>https://example.com/listings/SYN-0488</x:v>
      </x:c>
      <x:c r="E489" t="str">
        <x:v>Second Hand</x:v>
      </x:c>
      <x:c r="F489" t="str"/>
      <x:c r="G489" t="str"/>
      <x:c r="H489" t="str">
        <x:v>Klay 77, Tel Aviv</x:v>
      </x:c>
      <x:c r="I489" t="str">
        <x:v>Tel Aviv</x:v>
      </x:c>
      <x:c r="J489" t="str">
        <x:v>Kikar HaMedina / New North</x:v>
      </x:c>
      <x:c r="K489" s="14" t="n">
        <x:v>0.55</x:v>
      </x:c>
      <x:c r="L489" t="str">
        <x:v>Apartment</x:v>
      </x:c>
      <x:c r="M489" t="n">
        <x:v>4</x:v>
      </x:c>
      <x:c r="N489" s="16" t="n">
        <x:v>95</x:v>
      </x:c>
      <x:c r="O489" t="n">
        <x:v>9</x:v>
      </x:c>
      <x:c r="P489" t="n">
        <x:v>18</x:v>
      </x:c>
      <x:c r="Q489" s="18" t="n">
        <x:v>6690000</x:v>
      </x:c>
      <x:c r="R489" s="18" t="n">
        <x:f>IFERROR(Q489/N489,"")</x:f>
        <x:v>70421.05263157895</x:v>
      </x:c>
      <x:c r="S489" t="n">
        <x:v>1996</x:v>
      </x:c>
      <x:c r="T489" t="n">
        <x:v>30</x:v>
      </x:c>
      <x:c r="U489" t="str">
        <x:v>Renovated</x:v>
      </x:c>
      <x:c r="V489" s="16" t="n">
        <x:v>0</x:v>
      </x:c>
      <x:c r="W489" t="str"/>
      <x:c r="X489" t="n">
        <x:v>1</x:v>
      </x:c>
      <x:c r="Y489" s="16" t="n">
        <x:v>0</x:v>
      </x:c>
      <x:c r="Z489" s="1" t="b">
        <x:v>1</x:v>
      </x:c>
      <x:c r="AA489" t="str">
        <x:v>East</x:v>
      </x:c>
      <x:c r="AB489" s="16" t="n">
        <x:v>0</x:v>
      </x:c>
      <x:c r="AC489" s="16" t="n">
        <x:v>0</x:v>
      </x:c>
      <x:c r="AD489" s="1" t="b">
        <x:v>0</x:v>
      </x:c>
    </x:row>
    <x:row r="490">
      <x:c r="A490" t="str">
        <x:v>SYN-0489</x:v>
      </x:c>
      <x:c r="B490" s="12" t="n">
        <x:v>46206</x:v>
      </x:c>
      <x:c r="C490" t="str">
        <x:v>Synthetic New-Project Listing</x:v>
      </x:c>
      <x:c r="D490" t="str">
        <x:v>https://example.com/listings/SYN-0489</x:v>
      </x:c>
      <x:c r="E490" t="str">
        <x:v>New Project</x:v>
      </x:c>
      <x:c r="F490" t="str">
        <x:v>Medina Boutique</x:v>
      </x:c>
      <x:c r="G490" t="str">
        <x:v>Sample Development E</x:v>
      </x:c>
      <x:c r="H490" t="str">
        <x:v>Bavli 179, Tel Aviv</x:v>
      </x:c>
      <x:c r="I490" t="str">
        <x:v>Tel Aviv</x:v>
      </x:c>
      <x:c r="J490" t="str">
        <x:v>Kikar HaMedina / New North</x:v>
      </x:c>
      <x:c r="K490" s="14" t="n">
        <x:v>0.73</x:v>
      </x:c>
      <x:c r="L490" t="str">
        <x:v>Apartment</x:v>
      </x:c>
      <x:c r="M490" t="n">
        <x:v>5</x:v>
      </x:c>
      <x:c r="N490" s="16" t="n">
        <x:v>136</x:v>
      </x:c>
      <x:c r="O490" t="n">
        <x:v>4</x:v>
      </x:c>
      <x:c r="P490" t="n">
        <x:v>11</x:v>
      </x:c>
      <x:c r="Q490" s="18" t="n">
        <x:v>11240000</x:v>
      </x:c>
      <x:c r="R490" s="18" t="n">
        <x:f>IFERROR(Q490/N490,"")</x:f>
        <x:v>82647.05882352941</x:v>
      </x:c>
      <x:c r="S490" t="n">
        <x:v>2027</x:v>
      </x:c>
      <x:c r="T490" t="n">
        <x:v>0</x:v>
      </x:c>
      <x:c r="U490" t="str">
        <x:v>New</x:v>
      </x:c>
      <x:c r="V490" s="16" t="n">
        <x:v>28.9</x:v>
      </x:c>
      <x:c r="W490" t="str">
        <x:v>North-East</x:v>
      </x:c>
      <x:c r="X490" t="n">
        <x:v>1</x:v>
      </x:c>
      <x:c r="Y490" s="16" t="n">
        <x:v>0</x:v>
      </x:c>
      <x:c r="Z490" s="1" t="b">
        <x:v>1</x:v>
      </x:c>
      <x:c r="AA490" t="str">
        <x:v>North-East</x:v>
      </x:c>
      <x:c r="AB490" s="16" t="n">
        <x:v>0</x:v>
      </x:c>
      <x:c r="AC490" s="16" t="n">
        <x:v>0</x:v>
      </x:c>
      <x:c r="AD490" s="1" t="b">
        <x:v>0</x:v>
      </x:c>
    </x:row>
    <x:row r="491">
      <x:c r="A491" t="str">
        <x:v>SYN-0490</x:v>
      </x:c>
      <x:c r="B491" s="12" t="n">
        <x:v>46212</x:v>
      </x:c>
      <x:c r="C491" t="str">
        <x:v>Synthetic New-Project Listing</x:v>
      </x:c>
      <x:c r="D491" t="str">
        <x:v>https://example.com/listings/SYN-0490</x:v>
      </x:c>
      <x:c r="E491" t="str">
        <x:v>New Project</x:v>
      </x:c>
      <x:c r="F491" t="str">
        <x:v>Kikar Residence</x:v>
      </x:c>
      <x:c r="G491" t="str">
        <x:v>Sample Development A</x:v>
      </x:c>
      <x:c r="H491" t="str">
        <x:v>Mosenzon 19, Tel Aviv</x:v>
      </x:c>
      <x:c r="I491" t="str">
        <x:v>Tel Aviv</x:v>
      </x:c>
      <x:c r="J491" t="str">
        <x:v>Kikar HaMedina / New North</x:v>
      </x:c>
      <x:c r="K491" s="14" t="n">
        <x:v>0.82</x:v>
      </x:c>
      <x:c r="L491" t="str">
        <x:v>Penthouse</x:v>
      </x:c>
      <x:c r="M491" t="n">
        <x:v>3</x:v>
      </x:c>
      <x:c r="N491" s="16" t="n">
        <x:v>72.7</x:v>
      </x:c>
      <x:c r="O491" t="n">
        <x:v>12</x:v>
      </x:c>
      <x:c r="P491" t="n">
        <x:v>13</x:v>
      </x:c>
      <x:c r="Q491" s="18" t="n">
        <x:v>7770000</x:v>
      </x:c>
      <x:c r="R491" s="18" t="n">
        <x:f>IFERROR(Q491/N491,"")</x:f>
        <x:v>106877.57909215956</x:v>
      </x:c>
      <x:c r="S491" t="n">
        <x:v>2027</x:v>
      </x:c>
      <x:c r="T491" t="n">
        <x:v>0</x:v>
      </x:c>
      <x:c r="U491" t="str">
        <x:v>New</x:v>
      </x:c>
      <x:c r="V491" s="16" t="n">
        <x:v>57</x:v>
      </x:c>
      <x:c r="W491" t="str">
        <x:v>North</x:v>
      </x:c>
      <x:c r="X491" t="n">
        <x:v>1</x:v>
      </x:c>
      <x:c r="Y491" s="16" t="n">
        <x:v>9.6</x:v>
      </x:c>
      <x:c r="Z491" s="1" t="b">
        <x:v>1</x:v>
      </x:c>
      <x:c r="AA491" t="str">
        <x:v>North</x:v>
      </x:c>
      <x:c r="AB491" s="16" t="n">
        <x:v>0</x:v>
      </x:c>
      <x:c r="AC491" s="16" t="n">
        <x:v>27.5</x:v>
      </x:c>
      <x:c r="AD491" s="1" t="b">
        <x:v>1</x:v>
      </x:c>
    </x:row>
    <x:row r="492">
      <x:c r="A492" t="str">
        <x:v>SYN-0491</x:v>
      </x:c>
      <x:c r="B492" s="12" t="n">
        <x:v>46231</x:v>
      </x:c>
      <x:c r="C492" t="str">
        <x:v>Synthetic New-Project Listing</x:v>
      </x:c>
      <x:c r="D492" t="str">
        <x:v>https://example.com/listings/SYN-0491</x:v>
      </x:c>
      <x:c r="E492" t="str">
        <x:v>New Project</x:v>
      </x:c>
      <x:c r="F492" t="str">
        <x:v>Medina Boutique</x:v>
      </x:c>
      <x:c r="G492" t="str">
        <x:v>Sample Development E</x:v>
      </x:c>
      <x:c r="H492" t="str">
        <x:v>Epstein 5, Tel Aviv</x:v>
      </x:c>
      <x:c r="I492" t="str">
        <x:v>Tel Aviv</x:v>
      </x:c>
      <x:c r="J492" t="str">
        <x:v>Kikar HaMedina / New North</x:v>
      </x:c>
      <x:c r="K492" s="14" t="n">
        <x:v>0.93</x:v>
      </x:c>
      <x:c r="L492" t="str">
        <x:v>Apartment</x:v>
      </x:c>
      <x:c r="M492" t="n">
        <x:v>2</x:v>
      </x:c>
      <x:c r="N492" s="16" t="n">
        <x:v>46.5</x:v>
      </x:c>
      <x:c r="O492" t="n">
        <x:v>8</x:v>
      </x:c>
      <x:c r="P492" t="n">
        <x:v>12</x:v>
      </x:c>
      <x:c r="Q492" s="18" t="n">
        <x:v>4080000</x:v>
      </x:c>
      <x:c r="R492" s="18" t="n">
        <x:f>IFERROR(Q492/N492,"")</x:f>
        <x:v>87741.93548387097</x:v>
      </x:c>
      <x:c r="S492" t="n">
        <x:v>2025</x:v>
      </x:c>
      <x:c r="T492" t="n">
        <x:v>1</x:v>
      </x:c>
      <x:c r="U492" t="str">
        <x:v>New</x:v>
      </x:c>
      <x:c r="V492" s="16" t="n">
        <x:v>12.9</x:v>
      </x:c>
      <x:c r="W492" t="str">
        <x:v>West</x:v>
      </x:c>
      <x:c r="X492" t="n">
        <x:v>1</x:v>
      </x:c>
      <x:c r="Y492" s="16" t="n">
        <x:v>8.4</x:v>
      </x:c>
      <x:c r="Z492" s="1" t="b">
        <x:v>1</x:v>
      </x:c>
      <x:c r="AA492" t="str">
        <x:v>West, East</x:v>
      </x:c>
      <x:c r="AB492" s="16" t="n">
        <x:v>0</x:v>
      </x:c>
      <x:c r="AC492" s="16" t="n">
        <x:v>0</x:v>
      </x:c>
      <x:c r="AD492" s="1" t="b">
        <x:v>0</x:v>
      </x:c>
    </x:row>
    <x:row r="493">
      <x:c r="A493" t="str">
        <x:v>SYN-0492</x:v>
      </x:c>
      <x:c r="B493" s="12" t="n">
        <x:v>46207</x:v>
      </x:c>
      <x:c r="C493" t="str">
        <x:v>Synthetic Yad2-like Listing</x:v>
      </x:c>
      <x:c r="D493" t="str">
        <x:v>https://example.com/listings/SYN-0492</x:v>
      </x:c>
      <x:c r="E493" t="str">
        <x:v>Second Hand</x:v>
      </x:c>
      <x:c r="F493" t="str"/>
      <x:c r="G493" t="str"/>
      <x:c r="H493" t="str">
        <x:v>Klay 146, Tel Aviv</x:v>
      </x:c>
      <x:c r="I493" t="str">
        <x:v>Tel Aviv</x:v>
      </x:c>
      <x:c r="J493" t="str">
        <x:v>Kikar HaMedina / New North</x:v>
      </x:c>
      <x:c r="K493" s="14" t="n">
        <x:v>0.51</x:v>
      </x:c>
      <x:c r="L493" t="str">
        <x:v>Apartment</x:v>
      </x:c>
      <x:c r="M493" t="n">
        <x:v>2</x:v>
      </x:c>
      <x:c r="N493" s="16" t="n">
        <x:v>47.7</x:v>
      </x:c>
      <x:c r="O493" t="n">
        <x:v>9</x:v>
      </x:c>
      <x:c r="P493" t="n">
        <x:v>15</x:v>
      </x:c>
      <x:c r="Q493" s="18" t="n">
        <x:v>3800000</x:v>
      </x:c>
      <x:c r="R493" s="18" t="n">
        <x:f>IFERROR(Q493/N493,"")</x:f>
        <x:v>79664.57023060796</x:v>
      </x:c>
      <x:c r="S493" t="n">
        <x:v>2007</x:v>
      </x:c>
      <x:c r="T493" t="n">
        <x:v>19</x:v>
      </x:c>
      <x:c r="U493" t="str">
        <x:v>Good</x:v>
      </x:c>
      <x:c r="V493" s="16" t="n">
        <x:v>22.7</x:v>
      </x:c>
      <x:c r="W493" t="str">
        <x:v>West</x:v>
      </x:c>
      <x:c r="X493" t="n">
        <x:v>1</x:v>
      </x:c>
      <x:c r="Y493" s="16" t="n">
        <x:v>0</x:v>
      </x:c>
      <x:c r="Z493" s="1" t="b">
        <x:v>1</x:v>
      </x:c>
      <x:c r="AA493" t="str">
        <x:v>West</x:v>
      </x:c>
      <x:c r="AB493" s="16" t="n">
        <x:v>0</x:v>
      </x:c>
      <x:c r="AC493" s="16" t="n">
        <x:v>0</x:v>
      </x:c>
      <x:c r="AD493" s="1" t="b">
        <x:v>0</x:v>
      </x:c>
    </x:row>
    <x:row r="494">
      <x:c r="A494" t="str">
        <x:v>SYN-0493</x:v>
      </x:c>
      <x:c r="B494" s="12" t="n">
        <x:v>46239</x:v>
      </x:c>
      <x:c r="C494" t="str">
        <x:v>Synthetic New-Project Listing</x:v>
      </x:c>
      <x:c r="D494" t="str">
        <x:v>https://example.com/listings/SYN-0493</x:v>
      </x:c>
      <x:c r="E494" t="str">
        <x:v>New Project</x:v>
      </x:c>
      <x:c r="F494" t="str">
        <x:v>Medina Boutique</x:v>
      </x:c>
      <x:c r="G494" t="str">
        <x:v>Sample Development E</x:v>
      </x:c>
      <x:c r="H494" t="str">
        <x:v>Jabotinsky 92, Tel Aviv</x:v>
      </x:c>
      <x:c r="I494" t="str">
        <x:v>Tel Aviv</x:v>
      </x:c>
      <x:c r="J494" t="str">
        <x:v>Kikar HaMedina / New North</x:v>
      </x:c>
      <x:c r="K494" s="14" t="n">
        <x:v>0.42</x:v>
      </x:c>
      <x:c r="L494" t="str">
        <x:v>Apartment</x:v>
      </x:c>
      <x:c r="M494" t="n">
        <x:v>2</x:v>
      </x:c>
      <x:c r="N494" s="16" t="n">
        <x:v>48.5</x:v>
      </x:c>
      <x:c r="O494" t="n">
        <x:v>0</x:v>
      </x:c>
      <x:c r="P494" t="n">
        <x:v>9</x:v>
      </x:c>
      <x:c r="Q494" s="18" t="n">
        <x:v>4230000</x:v>
      </x:c>
      <x:c r="R494" s="18" t="n">
        <x:f>IFERROR(Q494/N494,"")</x:f>
        <x:v>87216.49484536082</x:v>
      </x:c>
      <x:c r="S494" t="n">
        <x:v>2026</x:v>
      </x:c>
      <x:c r="T494" t="n">
        <x:v>0</x:v>
      </x:c>
      <x:c r="U494" t="str">
        <x:v>New</x:v>
      </x:c>
      <x:c r="V494" s="16" t="n">
        <x:v>12.7</x:v>
      </x:c>
      <x:c r="W494" t="str">
        <x:v>South-East</x:v>
      </x:c>
      <x:c r="X494" t="n">
        <x:v>1</x:v>
      </x:c>
      <x:c r="Y494" s="16" t="n">
        <x:v>3.5</x:v>
      </x:c>
      <x:c r="Z494" s="1" t="b">
        <x:v>1</x:v>
      </x:c>
      <x:c r="AA494" t="str">
        <x:v>South-East</x:v>
      </x:c>
      <x:c r="AB494" s="16" t="n">
        <x:v>0</x:v>
      </x:c>
      <x:c r="AC494" s="16" t="n">
        <x:v>0</x:v>
      </x:c>
      <x:c r="AD494" s="1" t="b">
        <x:v>0</x:v>
      </x:c>
    </x:row>
    <x:row r="495">
      <x:c r="A495" t="str">
        <x:v>SYN-0494</x:v>
      </x:c>
      <x:c r="B495" s="12" t="n">
        <x:v>46206</x:v>
      </x:c>
      <x:c r="C495" t="str">
        <x:v>Synthetic New-Project Listing</x:v>
      </x:c>
      <x:c r="D495" t="str">
        <x:v>https://example.com/listings/SYN-0494</x:v>
      </x:c>
      <x:c r="E495" t="str">
        <x:v>New Project</x:v>
      </x:c>
      <x:c r="F495" t="str">
        <x:v>Weizmann Urban</x:v>
      </x:c>
      <x:c r="G495" t="str">
        <x:v>Sample Development B</x:v>
      </x:c>
      <x:c r="H495" t="str">
        <x:v>Klay 60, Tel Aviv</x:v>
      </x:c>
      <x:c r="I495" t="str">
        <x:v>Tel Aviv</x:v>
      </x:c>
      <x:c r="J495" t="str">
        <x:v>Kikar HaMedina / New North</x:v>
      </x:c>
      <x:c r="K495" s="14" t="n">
        <x:v>0.6</x:v>
      </x:c>
      <x:c r="L495" t="str">
        <x:v>Apartment</x:v>
      </x:c>
      <x:c r="M495" t="n">
        <x:v>4</x:v>
      </x:c>
      <x:c r="N495" s="16" t="n">
        <x:v>98.5</x:v>
      </x:c>
      <x:c r="O495" t="n">
        <x:v>4</x:v>
      </x:c>
      <x:c r="P495" t="n">
        <x:v>10</x:v>
      </x:c>
      <x:c r="Q495" s="18" t="n">
        <x:v>7790000</x:v>
      </x:c>
      <x:c r="R495" s="18" t="n">
        <x:f>IFERROR(Q495/N495,"")</x:f>
        <x:v>79086.29441624366</x:v>
      </x:c>
      <x:c r="S495" t="n">
        <x:v>2025</x:v>
      </x:c>
      <x:c r="T495" t="n">
        <x:v>1</x:v>
      </x:c>
      <x:c r="U495" t="str">
        <x:v>New</x:v>
      </x:c>
      <x:c r="V495" s="16" t="n">
        <x:v>8.9</x:v>
      </x:c>
      <x:c r="W495" t="str">
        <x:v>South-East</x:v>
      </x:c>
      <x:c r="X495" t="n">
        <x:v>1</x:v>
      </x:c>
      <x:c r="Y495" s="16" t="n">
        <x:v>5</x:v>
      </x:c>
      <x:c r="Z495" s="1" t="b">
        <x:v>1</x:v>
      </x:c>
      <x:c r="AA495" t="str">
        <x:v>South-East, East</x:v>
      </x:c>
      <x:c r="AB495" s="16" t="n">
        <x:v>0</x:v>
      </x:c>
      <x:c r="AC495" s="16" t="n">
        <x:v>0</x:v>
      </x:c>
      <x:c r="AD495" s="1" t="b">
        <x:v>0</x:v>
      </x:c>
    </x:row>
    <x:row r="496">
      <x:c r="A496" t="str">
        <x:v>SYN-0495</x:v>
      </x:c>
      <x:c r="B496" s="12" t="n">
        <x:v>46215</x:v>
      </x:c>
      <x:c r="C496" t="str">
        <x:v>Synthetic Yad2-like Listing</x:v>
      </x:c>
      <x:c r="D496" t="str">
        <x:v>https://example.com/listings/SYN-0495</x:v>
      </x:c>
      <x:c r="E496" t="str">
        <x:v>Second Hand</x:v>
      </x:c>
      <x:c r="F496" t="str"/>
      <x:c r="G496" t="str"/>
      <x:c r="H496" t="str">
        <x:v>Bavli 5, Tel Aviv</x:v>
      </x:c>
      <x:c r="I496" t="str">
        <x:v>Tel Aviv</x:v>
      </x:c>
      <x:c r="J496" t="str">
        <x:v>Kikar HaMedina / New North</x:v>
      </x:c>
      <x:c r="K496" s="14" t="n">
        <x:v>0.8</x:v>
      </x:c>
      <x:c r="L496" t="str">
        <x:v>Duplex</x:v>
      </x:c>
      <x:c r="M496" t="n">
        <x:v>4</x:v>
      </x:c>
      <x:c r="N496" s="16" t="n">
        <x:v>101</x:v>
      </x:c>
      <x:c r="O496" t="n">
        <x:v>7</x:v>
      </x:c>
      <x:c r="P496" t="n">
        <x:v>9</x:v>
      </x:c>
      <x:c r="Q496" s="18" t="n">
        <x:v>7450000</x:v>
      </x:c>
      <x:c r="R496" s="18" t="n">
        <x:f>IFERROR(Q496/N496,"")</x:f>
        <x:v>73762.37623762376</x:v>
      </x:c>
      <x:c r="S496" t="n">
        <x:v>2021</x:v>
      </x:c>
      <x:c r="T496" t="n">
        <x:v>5</x:v>
      </x:c>
      <x:c r="U496" t="str">
        <x:v>Renovated</x:v>
      </x:c>
      <x:c r="V496" s="16" t="n">
        <x:v>0</x:v>
      </x:c>
      <x:c r="W496" t="str"/>
      <x:c r="X496" t="n">
        <x:v>1</x:v>
      </x:c>
      <x:c r="Y496" s="16" t="n">
        <x:v>0</x:v>
      </x:c>
      <x:c r="Z496" s="1" t="b">
        <x:v>1</x:v>
      </x:c>
      <x:c r="AA496" t="str">
        <x:v>South</x:v>
      </x:c>
      <x:c r="AB496" s="16" t="n">
        <x:v>0</x:v>
      </x:c>
      <x:c r="AC496" s="16" t="n">
        <x:v>0</x:v>
      </x:c>
      <x:c r="AD496" s="1" t="b">
        <x:v>0</x:v>
      </x:c>
    </x:row>
    <x:row r="497">
      <x:c r="A497" t="str">
        <x:v>SYN-0496</x:v>
      </x:c>
      <x:c r="B497" s="12" t="n">
        <x:v>46251</x:v>
      </x:c>
      <x:c r="C497" t="str">
        <x:v>Synthetic Yad2-like Listing</x:v>
      </x:c>
      <x:c r="D497" t="str">
        <x:v>https://example.com/listings/SYN-0496</x:v>
      </x:c>
      <x:c r="E497" t="str">
        <x:v>Second Hand</x:v>
      </x:c>
      <x:c r="F497" t="str"/>
      <x:c r="G497" t="str"/>
      <x:c r="H497" t="str">
        <x:v>Helsinki 88, Tel Aviv</x:v>
      </x:c>
      <x:c r="I497" t="str">
        <x:v>Tel Aviv</x:v>
      </x:c>
      <x:c r="J497" t="str">
        <x:v>Kikar HaMedina / New North</x:v>
      </x:c>
      <x:c r="K497" s="14" t="n">
        <x:v>0.05</x:v>
      </x:c>
      <x:c r="L497" t="str">
        <x:v>Apartment</x:v>
      </x:c>
      <x:c r="M497" t="n">
        <x:v>4</x:v>
      </x:c>
      <x:c r="N497" s="16" t="n">
        <x:v>101.2</x:v>
      </x:c>
      <x:c r="O497" t="n">
        <x:v>0</x:v>
      </x:c>
      <x:c r="P497" t="n">
        <x:v>12</x:v>
      </x:c>
      <x:c r="Q497" s="18" t="n">
        <x:v>6760000</x:v>
      </x:c>
      <x:c r="R497" s="18" t="n">
        <x:f>IFERROR(Q497/N497,"")</x:f>
        <x:v>66798.41897233202</x:v>
      </x:c>
      <x:c r="S497" t="n">
        <x:v>2008</x:v>
      </x:c>
      <x:c r="T497" t="n">
        <x:v>18</x:v>
      </x:c>
      <x:c r="U497" t="str">
        <x:v>Good</x:v>
      </x:c>
      <x:c r="V497" s="16" t="n">
        <x:v>0</x:v>
      </x:c>
      <x:c r="W497" t="str"/>
      <x:c r="X497" t="n">
        <x:v>0</x:v>
      </x:c>
      <x:c r="Y497" s="16" t="n">
        <x:v>8.8</x:v>
      </x:c>
      <x:c r="Z497" s="1" t="b">
        <x:v>1</x:v>
      </x:c>
      <x:c r="AA497" t="str">
        <x:v>West</x:v>
      </x:c>
      <x:c r="AB497" s="16" t="n">
        <x:v>0</x:v>
      </x:c>
      <x:c r="AC497" s="16" t="n">
        <x:v>0</x:v>
      </x:c>
      <x:c r="AD497" s="1" t="b">
        <x:v>0</x:v>
      </x:c>
    </x:row>
    <x:row r="498">
      <x:c r="A498" t="str">
        <x:v>SYN-0497</x:v>
      </x:c>
      <x:c r="B498" s="12" t="n">
        <x:v>46209</x:v>
      </x:c>
      <x:c r="C498" t="str">
        <x:v>Synthetic Yad2-like Listing</x:v>
      </x:c>
      <x:c r="D498" t="str">
        <x:v>https://example.com/listings/SYN-0497</x:v>
      </x:c>
      <x:c r="E498" t="str">
        <x:v>Second Hand</x:v>
      </x:c>
      <x:c r="F498" t="str"/>
      <x:c r="G498" t="str"/>
      <x:c r="H498" t="str">
        <x:v>Biltmore 61, Tel Aviv</x:v>
      </x:c>
      <x:c r="I498" t="str">
        <x:v>Tel Aviv</x:v>
      </x:c>
      <x:c r="J498" t="str">
        <x:v>Kikar HaMedina / New North</x:v>
      </x:c>
      <x:c r="K498" s="14" t="n">
        <x:v>0.65</x:v>
      </x:c>
      <x:c r="L498" t="str">
        <x:v>Apartment</x:v>
      </x:c>
      <x:c r="M498" t="n">
        <x:v>5</x:v>
      </x:c>
      <x:c r="N498" s="16" t="n">
        <x:v>126.4</x:v>
      </x:c>
      <x:c r="O498" t="n">
        <x:v>11</x:v>
      </x:c>
      <x:c r="P498" t="n">
        <x:v>17</x:v>
      </x:c>
      <x:c r="Q498" s="18" t="n">
        <x:v>8730000</x:v>
      </x:c>
      <x:c r="R498" s="18" t="n">
        <x:f>IFERROR(Q498/N498,"")</x:f>
        <x:v>69066.45569620252</x:v>
      </x:c>
      <x:c r="S498" t="n">
        <x:v>1976</x:v>
      </x:c>
      <x:c r="T498" t="n">
        <x:v>50</x:v>
      </x:c>
      <x:c r="U498" t="str">
        <x:v>Renovated</x:v>
      </x:c>
      <x:c r="V498" s="16" t="n">
        <x:v>0</x:v>
      </x:c>
      <x:c r="W498" t="str"/>
      <x:c r="X498" t="n">
        <x:v>1</x:v>
      </x:c>
      <x:c r="Y498" s="16" t="n">
        <x:v>0</x:v>
      </x:c>
      <x:c r="Z498" s="1" t="b">
        <x:v>1</x:v>
      </x:c>
      <x:c r="AA498" t="str">
        <x:v>South-West</x:v>
      </x:c>
      <x:c r="AB498" s="16" t="n">
        <x:v>0</x:v>
      </x:c>
      <x:c r="AC498" s="16" t="n">
        <x:v>0</x:v>
      </x:c>
      <x:c r="AD498" s="1" t="b">
        <x:v>0</x:v>
      </x:c>
    </x:row>
    <x:row r="499">
      <x:c r="A499" t="str">
        <x:v>SYN-0498</x:v>
      </x:c>
      <x:c r="B499" s="12" t="n">
        <x:v>46206</x:v>
      </x:c>
      <x:c r="C499" t="str">
        <x:v>Synthetic Yad2-like Listing</x:v>
      </x:c>
      <x:c r="D499" t="str">
        <x:v>https://example.com/listings/SYN-0498</x:v>
      </x:c>
      <x:c r="E499" t="str">
        <x:v>Second Hand</x:v>
      </x:c>
      <x:c r="F499" t="str"/>
      <x:c r="G499" t="str"/>
      <x:c r="H499" t="str">
        <x:v>Mosenzon 68, Tel Aviv</x:v>
      </x:c>
      <x:c r="I499" t="str">
        <x:v>Tel Aviv</x:v>
      </x:c>
      <x:c r="J499" t="str">
        <x:v>Kikar HaMedina / New North</x:v>
      </x:c>
      <x:c r="K499" s="14" t="n">
        <x:v>0.85</x:v>
      </x:c>
      <x:c r="L499" t="str">
        <x:v>Duplex</x:v>
      </x:c>
      <x:c r="M499" t="n">
        <x:v>4</x:v>
      </x:c>
      <x:c r="N499" s="16" t="n">
        <x:v>93.9</x:v>
      </x:c>
      <x:c r="O499" t="n">
        <x:v>9</x:v>
      </x:c>
      <x:c r="P499" t="n">
        <x:v>16</x:v>
      </x:c>
      <x:c r="Q499" s="18" t="n">
        <x:v>6380000</x:v>
      </x:c>
      <x:c r="R499" s="18" t="n">
        <x:f>IFERROR(Q499/N499,"")</x:f>
        <x:v>67944.62193823216</x:v>
      </x:c>
      <x:c r="S499" t="n">
        <x:v>1967</x:v>
      </x:c>
      <x:c r="T499" t="n">
        <x:v>59</x:v>
      </x:c>
      <x:c r="U499" t="str">
        <x:v>Renovated</x:v>
      </x:c>
      <x:c r="V499" s="16" t="n">
        <x:v>12.3</x:v>
      </x:c>
      <x:c r="W499" t="str">
        <x:v>North-East</x:v>
      </x:c>
      <x:c r="X499" t="n">
        <x:v>0</x:v>
      </x:c>
      <x:c r="Y499" s="16" t="n">
        <x:v>0</x:v>
      </x:c>
      <x:c r="Z499" s="1" t="b">
        <x:v>1</x:v>
      </x:c>
      <x:c r="AA499" t="str">
        <x:v>North-East, East</x:v>
      </x:c>
      <x:c r="AB499" s="16" t="n">
        <x:v>0</x:v>
      </x:c>
      <x:c r="AC499" s="16" t="n">
        <x:v>0</x:v>
      </x:c>
      <x:c r="AD499" s="1" t="b">
        <x:v>0</x:v>
      </x:c>
    </x:row>
    <x:row r="500">
      <x:c r="A500" t="str">
        <x:v>SYN-0499</x:v>
      </x:c>
      <x:c r="B500" s="12" t="n">
        <x:v>46207</x:v>
      </x:c>
      <x:c r="C500" t="str">
        <x:v>Synthetic Yad2-like Listing</x:v>
      </x:c>
      <x:c r="D500" t="str">
        <x:v>https://example.com/listings/SYN-0499</x:v>
      </x:c>
      <x:c r="E500" t="str">
        <x:v>Second Hand</x:v>
      </x:c>
      <x:c r="F500" t="str"/>
      <x:c r="G500" t="str"/>
      <x:c r="H500" t="str">
        <x:v>Bavli 127, Tel Aviv</x:v>
      </x:c>
      <x:c r="I500" t="str">
        <x:v>Tel Aviv</x:v>
      </x:c>
      <x:c r="J500" t="str">
        <x:v>Kikar HaMedina / New North</x:v>
      </x:c>
      <x:c r="K500" s="14" t="n">
        <x:v>0.76</x:v>
      </x:c>
      <x:c r="L500" t="str">
        <x:v>Duplex</x:v>
      </x:c>
      <x:c r="M500" t="n">
        <x:v>4</x:v>
      </x:c>
      <x:c r="N500" s="16" t="n">
        <x:v>104.9</x:v>
      </x:c>
      <x:c r="O500" t="n">
        <x:v>3</x:v>
      </x:c>
      <x:c r="P500" t="n">
        <x:v>10</x:v>
      </x:c>
      <x:c r="Q500" s="18" t="n">
        <x:v>6920000</x:v>
      </x:c>
      <x:c r="R500" s="18" t="n">
        <x:f>IFERROR(Q500/N500,"")</x:f>
        <x:v>65967.5881792183</x:v>
      </x:c>
      <x:c r="S500" t="n">
        <x:v>1964</x:v>
      </x:c>
      <x:c r="T500" t="n">
        <x:v>62</x:v>
      </x:c>
      <x:c r="U500" t="str">
        <x:v>Good</x:v>
      </x:c>
      <x:c r="V500" s="16" t="n">
        <x:v>0</x:v>
      </x:c>
      <x:c r="W500" t="str"/>
      <x:c r="X500" t="n">
        <x:v>1</x:v>
      </x:c>
      <x:c r="Y500" s="16" t="n">
        <x:v>0</x:v>
      </x:c>
      <x:c r="Z500" s="1" t="b">
        <x:v>1</x:v>
      </x:c>
      <x:c r="AA500" t="str">
        <x:v>North-West</x:v>
      </x:c>
      <x:c r="AB500" s="16" t="n">
        <x:v>0</x:v>
      </x:c>
      <x:c r="AC500" s="16" t="n">
        <x:v>0</x:v>
      </x:c>
      <x:c r="AD500" s="1" t="b">
        <x:v>0</x:v>
      </x:c>
    </x:row>
    <x:row r="501">
      <x:c r="A501" t="str">
        <x:v>SYN-0500</x:v>
      </x:c>
      <x:c r="B501" s="12" t="n">
        <x:v>46236</x:v>
      </x:c>
      <x:c r="C501" t="str">
        <x:v>Synthetic New-Project Listing</x:v>
      </x:c>
      <x:c r="D501" t="str">
        <x:v>https://example.com/listings/SYN-0500</x:v>
      </x:c>
      <x:c r="E501" t="str">
        <x:v>New Project</x:v>
      </x:c>
      <x:c r="F501" t="str">
        <x:v>Kikar Residence</x:v>
      </x:c>
      <x:c r="G501" t="str">
        <x:v>Sample Development A</x:v>
      </x:c>
      <x:c r="H501" t="str">
        <x:v>Mosenzon 139, Tel Aviv</x:v>
      </x:c>
      <x:c r="I501" t="str">
        <x:v>Tel Aviv</x:v>
      </x:c>
      <x:c r="J501" t="str">
        <x:v>Kikar HaMedina / New North</x:v>
      </x:c>
      <x:c r="K501" s="14" t="n">
        <x:v>0.74</x:v>
      </x:c>
      <x:c r="L501" t="str">
        <x:v>Apartment</x:v>
      </x:c>
      <x:c r="M501" t="n">
        <x:v>4</x:v>
      </x:c>
      <x:c r="N501" s="16" t="n">
        <x:v>91.7</x:v>
      </x:c>
      <x:c r="O501" t="n">
        <x:v>8</x:v>
      </x:c>
      <x:c r="P501" t="n">
        <x:v>16</x:v>
      </x:c>
      <x:c r="Q501" s="18" t="n">
        <x:v>7170000</x:v>
      </x:c>
      <x:c r="R501" s="18" t="n">
        <x:f>IFERROR(Q501/N501,"")</x:f>
        <x:v>78189.74918211559</x:v>
      </x:c>
      <x:c r="S501" t="n">
        <x:v>2026</x:v>
      </x:c>
      <x:c r="T501" t="n">
        <x:v>0</x:v>
      </x:c>
      <x:c r="U501" t="str">
        <x:v>New</x:v>
      </x:c>
      <x:c r="V501" s="16" t="n">
        <x:v>19.5</x:v>
      </x:c>
      <x:c r="W501" t="str">
        <x:v>North</x:v>
      </x:c>
      <x:c r="X501" t="n">
        <x:v>0</x:v>
      </x:c>
      <x:c r="Y501" s="16" t="n">
        <x:v>0</x:v>
      </x:c>
      <x:c r="Z501" s="1" t="b">
        <x:v>1</x:v>
      </x:c>
      <x:c r="AA501" t="str">
        <x:v>North, South</x:v>
      </x:c>
      <x:c r="AB501" s="16" t="n">
        <x:v>0</x:v>
      </x:c>
      <x:c r="AC501" s="16" t="n">
        <x:v>0</x:v>
      </x:c>
      <x:c r="AD501" s="1" t="b">
        <x:v>0</x:v>
      </x:c>
    </x:row>
  </x:sheetData>
  <x:conditionalFormatting sqref="R2:R50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{FC758510-10FE-8A69-06B7-16A9768F83B9}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f57f222010b493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C758510-10FE-8A69-06B7-16A9768F83B9}">
            <x14:dataBar gradient="1">
              <x14:cfvo type="min"/>
              <x14:cfvo type="max"/>
              <x14:fillColor rgb="FFA02B93"/>
            </x14:dataBar>
          </x14:cfRule>
          <xm:sqref>R2:R501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>
      <x:c r="A1" s="20" t="str">
        <x:v>Synthetic Current Market Dataset</x:v>
      </x:c>
      <x:c r="B1" s="20" t="str"/>
    </x:row>
    <x:row r="2">
      <x:c r="A2" s="21" t="str">
        <x:v>Purpose</x:v>
      </x:c>
      <x:c r="B2" s="21" t="str">
        <x:v>POC input simulating Yad2/Madlan/current-project asking-price data.</x:v>
      </x:c>
    </x:row>
    <x:row r="3">
      <x:c r="A3" s="21" t="str">
        <x:v>Target project anchor</x:v>
      </x:c>
      <x:c r="B3" s="21" t="str">
        <x:v>Helsinki 24, Tel Aviv</x:v>
      </x:c>
    </x:row>
    <x:row r="4">
      <x:c r="A4" s="21" t="str">
        <x:v>Rows</x:v>
      </x:c>
      <x:c r="B4" s="21" t="n">
        <x:v>500</x:v>
      </x:c>
    </x:row>
    <x:row r="5">
      <x:c r="A5" s="21" t="str">
        <x:v>Distance rule</x:v>
      </x:c>
      <x:c r="B5" s="21" t="str">
        <x:v>All listings generated with distance_from_project_km &lt; 1.00</x:v>
      </x:c>
    </x:row>
    <x:row r="6">
      <x:c r="A6" s="21" t="str">
        <x:v>Market mix</x:v>
      </x:c>
      <x:c r="B6" s="21" t="str">
        <x:v>Approx. 60% second-hand, 40% new-project</x:v>
      </x:c>
    </x:row>
    <x:row r="7">
      <x:c r="A7" s="21" t="str">
        <x:v>Pricing benchmark</x:v>
      </x:c>
      <x:c r="B7" s="21" t="str">
        <x:v>New-project pricing centered around ~68–70K ₪/sqm, close to the Gabay examples shared earlier.</x:v>
      </x:c>
    </x:row>
    <x:row r="8">
      <x:c r="A8" s="21" t="str">
        <x:v>Important</x:v>
      </x:c>
      <x:c r="B8" s="21" t="str">
        <x:v>All rows are synthetic. Do not present them as real Yad2/Madlan listings.</x:v>
      </x:c>
    </x:row>
    <x:row r="9">
      <x:c r="A9" s="21" t="str">
        <x:v>Future use</x:v>
      </x:c>
      <x:c r="B9" s="21" t="str">
        <x:v>Blend this current-market signal with GovMap transaction-based pricing using configurable weights in settings.py.</x:v>
      </x:c>
    </x:row>
    <x:row r="10">
      <x:c r="A10" s="31" t="str">
        <x:v>Added target-alignment fields</x:v>
      </x:c>
      <x:c r="B10" s="21" t="str">
        <x:v>directions, garden_area_sqm, roof_area_sqm, is_top_floor</x:v>
      </x:c>
    </x:row>
    <x:row r="11">
      <x:c r="A11" s="31" t="str">
        <x:v>Existing relevant fields</x:v>
      </x:c>
      <x:c r="B11" s="21" t="str">
        <x:v>balcony_direction, parking_count, storage_area_sqm, property_type were already present.</x:v>
      </x:c>
    </x:row>
    <x:row r="12">
      <x:c r="A12" s="31" t="str">
        <x:v>Synthetic-data note</x:v>
      </x:c>
      <x:c r="B12" s="21" t="str">
        <x:v>All newly added attribute values are synthetic POC values for model-development purposes.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</x:cols>
  <x:sheetData>
    <x:row r="1">
      <x:c r="A1" s="5" t="str">
        <x:v>Metric</x:v>
      </x:c>
      <x:c r="B1" s="5" t="str">
        <x:v>Value</x:v>
      </x:c>
    </x:row>
    <x:row r="2">
      <x:c r="A2" t="str">
        <x:v>Total listings</x:v>
      </x:c>
      <x:c r="B2" t="n">
        <x:f>COUNTA(Current_Market_Listings!A2:A501)</x:f>
        <x:v>500</x:v>
      </x:c>
    </x:row>
    <x:row r="3">
      <x:c r="A3" t="str">
        <x:v>Second-hand listings</x:v>
      </x:c>
      <x:c r="B3" t="n">
        <x:f>COUNTIF(Current_Market_Listings!E2:E501,"Second Hand")</x:f>
        <x:v>292</x:v>
      </x:c>
    </x:row>
    <x:row r="4">
      <x:c r="A4" t="str">
        <x:v>New-project listings</x:v>
      </x:c>
      <x:c r="B4" t="n">
        <x:f>COUNTIF(Current_Market_Listings!E2:E501,"New Project")</x:f>
        <x:v>208</x:v>
      </x:c>
    </x:row>
    <x:row r="5">
      <x:c r="A5" t="str">
        <x:v>Average asking price</x:v>
      </x:c>
      <x:c r="B5" s="18" t="n">
        <x:f>AVERAGE(Current_Market_Listings!Q2:Q501)</x:f>
        <x:v>6678080</x:v>
      </x:c>
    </x:row>
    <x:row r="6">
      <x:c r="A6" t="str">
        <x:v>Average price per sqm</x:v>
      </x:c>
      <x:c r="B6" s="18" t="n">
        <x:f>AVERAGE(Current_Market_Listings!R2:R501)</x:f>
        <x:v>75684.84798994128</x:v>
      </x:c>
    </x:row>
    <x:row r="7">
      <x:c r="A7" t="str">
        <x:v>Min distance (km)</x:v>
      </x:c>
      <x:c r="B7" s="14" t="n">
        <x:f>MIN(Current_Market_Listings!K2:K501)</x:f>
        <x:v>0.05</x:v>
      </x:c>
    </x:row>
    <x:row r="8">
      <x:c r="A8" t="str">
        <x:v>Max distance (km)</x:v>
      </x:c>
      <x:c r="B8" s="14" t="n">
        <x:f>MAX(Current_Market_Listings!K2:K501)</x:f>
        <x:v>0.99</x:v>
      </x:c>
    </x:row>
    <x:row r="9">
      <x:c r="A9" t="str">
        <x:v>Avg balcony area</x:v>
      </x:c>
      <x:c r="B9" s="16" t="n">
        <x:f>AVERAGE(Current_Market_Listings!V2:V501)</x:f>
        <x:v>15.071199999999992</x:v>
      </x:c>
    </x:row>
  </x:sheetData>
  <x:pageMargins left="0.7" right="0.7" top="0.75" bottom="0.75" header="0.3" footer="0.3"/>
</x:worksheet>
</file>